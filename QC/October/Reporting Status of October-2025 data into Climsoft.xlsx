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ADocuments\Stations\QC\Principal Stations\2025\10October\"/>
    </mc:Choice>
  </mc:AlternateContent>
  <bookViews>
    <workbookView xWindow="0" yWindow="0" windowWidth="38400" windowHeight="17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5" i="1"/>
  <c r="I7" i="1"/>
  <c r="I8" i="1"/>
  <c r="I9" i="1"/>
  <c r="I10" i="1"/>
  <c r="I11" i="1"/>
  <c r="I12" i="1"/>
  <c r="I14" i="1"/>
  <c r="I13" i="1"/>
  <c r="I15" i="1"/>
  <c r="I16" i="1"/>
  <c r="I4" i="1"/>
</calcChain>
</file>

<file path=xl/sharedStrings.xml><?xml version="1.0" encoding="utf-8"?>
<sst xmlns="http://schemas.openxmlformats.org/spreadsheetml/2006/main" count="26" uniqueCount="22">
  <si>
    <t>Station</t>
  </si>
  <si>
    <t>Total Expected Data Points</t>
  </si>
  <si>
    <t>Total Missing Data Points</t>
  </si>
  <si>
    <t>GITEGA</t>
  </si>
  <si>
    <t>KIGALI AERO</t>
  </si>
  <si>
    <t>KAWANGIRE</t>
  </si>
  <si>
    <t>GIKONGORO</t>
  </si>
  <si>
    <t>BYIMANA</t>
  </si>
  <si>
    <t>RUBENGERA</t>
  </si>
  <si>
    <t>KAMEMBE</t>
  </si>
  <si>
    <t>BUSOGO</t>
  </si>
  <si>
    <t>RUHENGERI</t>
  </si>
  <si>
    <t>BYUMBA</t>
  </si>
  <si>
    <t>NYAGATARE</t>
  </si>
  <si>
    <t>KIBUNGO</t>
  </si>
  <si>
    <t>GISENYI</t>
  </si>
  <si>
    <t>Available data Point</t>
  </si>
  <si>
    <t xml:space="preserve">Total available </t>
  </si>
  <si>
    <t>Reporting Status of October-2025's data into Climsoft by 05/11/2025</t>
  </si>
  <si>
    <t>Daily</t>
  </si>
  <si>
    <t>Hourly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</si>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</sst>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justify" vertical="center" wrapText="1"/>
    </xf>
    <xf numFmtId="49" fontId="3" fillId="3" borderId="1" xfId="0" applyNumberFormat="1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justify" vertical="center" wrapText="1"/>
    </xf>
    <xf numFmtId="49" fontId="3" fillId="4" borderId="1" xfId="0" applyNumberFormat="1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justify" wrapText="1"/>
    </xf>
    <xf numFmtId="0" fontId="3" fillId="2" borderId="1" xfId="0" applyFont="1" applyFill="1" applyBorder="1" applyAlignment="1">
      <alignment horizontal="justify" wrapText="1"/>
    </xf>
    <xf numFmtId="168" fontId="4" fillId="2" borderId="1" xfId="0" applyNumberFormat="1" applyFont="1" applyFill="1" applyBorder="1" applyAlignment="1"/>
    <xf numFmtId="49" fontId="3" fillId="3" borderId="1" xfId="0" applyNumberFormat="1" applyFont="1" applyFill="1" applyBorder="1" applyAlignment="1">
      <alignment horizontal="justify" wrapText="1"/>
    </xf>
    <xf numFmtId="0" fontId="3" fillId="3" borderId="1" xfId="0" applyFont="1" applyFill="1" applyBorder="1" applyAlignment="1">
      <alignment horizontal="justify" wrapText="1"/>
    </xf>
    <xf numFmtId="168" fontId="4" fillId="3" borderId="1" xfId="0" applyNumberFormat="1" applyFont="1" applyFill="1" applyBorder="1" applyAlignment="1"/>
    <xf numFmtId="49" fontId="3" fillId="4" borderId="1" xfId="0" applyNumberFormat="1" applyFont="1" applyFill="1" applyBorder="1" applyAlignment="1">
      <alignment horizontal="justify" wrapText="1"/>
    </xf>
    <xf numFmtId="0" fontId="3" fillId="4" borderId="1" xfId="0" applyFont="1" applyFill="1" applyBorder="1" applyAlignment="1">
      <alignment horizontal="justify" wrapText="1"/>
    </xf>
    <xf numFmtId="168" fontId="4" fillId="4" borderId="1" xfId="0" applyNumberFormat="1" applyFont="1" applyFill="1" applyBorder="1" applyAlignment="1"/>
    <xf numFmtId="168" fontId="4" fillId="2" borderId="1" xfId="0" applyNumberFormat="1" applyFont="1" applyFill="1" applyBorder="1" applyAlignment="1">
      <alignment vertical="center"/>
    </xf>
    <xf numFmtId="168" fontId="4" fillId="4" borderId="1" xfId="0" applyNumberFormat="1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justify" vertical="center" wrapText="1"/>
    </xf>
    <xf numFmtId="0" fontId="3" fillId="4" borderId="0" xfId="0" applyFont="1" applyFill="1" applyBorder="1" applyAlignment="1">
      <alignment horizontal="justify" vertical="center" wrapText="1"/>
    </xf>
    <xf numFmtId="168" fontId="4" fillId="4" borderId="0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8" fontId="4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Q13" sqref="Q13"/>
    </sheetView>
  </sheetViews>
  <sheetFormatPr defaultRowHeight="14.5" x14ac:dyDescent="0.35"/>
  <cols>
    <col min="2" max="2" width="17.453125" customWidth="1"/>
    <col min="3" max="3" width="7.453125" customWidth="1"/>
    <col min="4" max="4" width="9.08984375" customWidth="1"/>
    <col min="5" max="5" width="7.81640625" customWidth="1"/>
    <col min="6" max="6" width="9.26953125" customWidth="1"/>
    <col min="7" max="7" width="9.1796875" customWidth="1"/>
    <col min="8" max="8" width="9.36328125" customWidth="1"/>
    <col min="9" max="9" width="18" bestFit="1" customWidth="1"/>
  </cols>
  <sheetData>
    <row r="1" spans="1:12" ht="22.5" x14ac:dyDescent="0.35">
      <c r="B1" s="15" t="s">
        <v>18</v>
      </c>
      <c r="C1" s="15"/>
      <c r="D1" s="15"/>
      <c r="E1" s="15"/>
      <c r="F1" s="15"/>
      <c r="G1" s="15"/>
      <c r="H1" s="15"/>
      <c r="I1" s="15"/>
      <c r="J1" s="1"/>
      <c r="K1" s="1"/>
      <c r="L1" s="1"/>
    </row>
    <row r="2" spans="1:12" ht="57" customHeight="1" x14ac:dyDescent="0.35">
      <c r="A2" s="12" t="s">
        <v>21</v>
      </c>
      <c r="B2" s="10" t="s">
        <v>0</v>
      </c>
      <c r="C2" s="2" t="s">
        <v>1</v>
      </c>
      <c r="D2" s="2"/>
      <c r="E2" s="2" t="s">
        <v>2</v>
      </c>
      <c r="F2" s="2"/>
      <c r="G2" s="2" t="s">
        <v>16</v>
      </c>
      <c r="H2" s="2"/>
      <c r="I2" s="13" t="s">
        <v>17</v>
      </c>
    </row>
    <row r="3" spans="1:12" ht="57" customHeight="1" x14ac:dyDescent="0.35">
      <c r="A3" s="12"/>
      <c r="B3" s="11"/>
      <c r="C3" s="9" t="s">
        <v>19</v>
      </c>
      <c r="D3" s="9" t="s">
        <v>20</v>
      </c>
      <c r="E3" s="9" t="s">
        <v>19</v>
      </c>
      <c r="F3" s="9" t="s">
        <v>20</v>
      </c>
      <c r="G3" s="9" t="s">
        <v>19</v>
      </c>
      <c r="H3" s="9" t="s">
        <v>20</v>
      </c>
      <c r="I3" s="14"/>
    </row>
    <row r="4" spans="1:12" ht="21" customHeight="1" x14ac:dyDescent="0.45">
      <c r="A4" s="16">
        <v>1</v>
      </c>
      <c r="B4" s="17" t="s">
        <v>13</v>
      </c>
      <c r="C4" s="18">
        <v>527</v>
      </c>
      <c r="D4" s="18">
        <v>6820</v>
      </c>
      <c r="E4" s="18">
        <v>0</v>
      </c>
      <c r="F4" s="18">
        <v>0</v>
      </c>
      <c r="G4" s="18">
        <v>527</v>
      </c>
      <c r="H4" s="18">
        <v>6820</v>
      </c>
      <c r="I4" s="19">
        <f>(G4+H4)/(D4+C4)</f>
        <v>1</v>
      </c>
    </row>
    <row r="5" spans="1:12" ht="39" customHeight="1" x14ac:dyDescent="0.45">
      <c r="A5" s="16">
        <v>2</v>
      </c>
      <c r="B5" s="17" t="s">
        <v>6</v>
      </c>
      <c r="C5" s="18">
        <v>620</v>
      </c>
      <c r="D5" s="18">
        <v>6820</v>
      </c>
      <c r="E5" s="18">
        <v>4</v>
      </c>
      <c r="F5" s="18">
        <v>0</v>
      </c>
      <c r="G5" s="18">
        <v>616</v>
      </c>
      <c r="H5" s="18">
        <v>6820</v>
      </c>
      <c r="I5" s="19">
        <f>(G5+H5)/(D5+C5)</f>
        <v>0.99946236559139789</v>
      </c>
    </row>
    <row r="6" spans="1:12" ht="21" customHeight="1" x14ac:dyDescent="0.35">
      <c r="A6" s="16">
        <v>3</v>
      </c>
      <c r="B6" s="3" t="s">
        <v>3</v>
      </c>
      <c r="C6" s="4">
        <v>713</v>
      </c>
      <c r="D6" s="4">
        <v>6820</v>
      </c>
      <c r="E6" s="4">
        <v>4</v>
      </c>
      <c r="F6" s="4">
        <v>5</v>
      </c>
      <c r="G6" s="4">
        <v>709</v>
      </c>
      <c r="H6" s="4">
        <v>6815</v>
      </c>
      <c r="I6" s="26">
        <f>(G6+H6)/(D6+C6)</f>
        <v>0.99880525686977295</v>
      </c>
    </row>
    <row r="7" spans="1:12" ht="21" customHeight="1" x14ac:dyDescent="0.45">
      <c r="A7" s="16">
        <v>4</v>
      </c>
      <c r="B7" s="17" t="s">
        <v>14</v>
      </c>
      <c r="C7" s="18">
        <v>527</v>
      </c>
      <c r="D7" s="18">
        <v>6820</v>
      </c>
      <c r="E7" s="18">
        <v>7</v>
      </c>
      <c r="F7" s="18">
        <v>8</v>
      </c>
      <c r="G7" s="18">
        <v>520</v>
      </c>
      <c r="H7" s="18">
        <v>6812</v>
      </c>
      <c r="I7" s="19">
        <f>(G7+H7)/(D7+C7)</f>
        <v>0.99795835034708047</v>
      </c>
    </row>
    <row r="8" spans="1:12" ht="21" customHeight="1" x14ac:dyDescent="0.45">
      <c r="A8" s="16">
        <v>5</v>
      </c>
      <c r="B8" s="17" t="s">
        <v>10</v>
      </c>
      <c r="C8" s="18">
        <v>558</v>
      </c>
      <c r="D8" s="18">
        <v>4712</v>
      </c>
      <c r="E8" s="18">
        <v>10</v>
      </c>
      <c r="F8" s="18">
        <v>107</v>
      </c>
      <c r="G8" s="18">
        <v>548</v>
      </c>
      <c r="H8" s="18">
        <v>4605</v>
      </c>
      <c r="I8" s="19">
        <f>(G8+H8)/(D8+C8)</f>
        <v>0.97779886148007589</v>
      </c>
    </row>
    <row r="9" spans="1:12" ht="39" customHeight="1" x14ac:dyDescent="0.35">
      <c r="A9" s="32">
        <v>6</v>
      </c>
      <c r="B9" s="5" t="s">
        <v>7</v>
      </c>
      <c r="C9" s="6">
        <v>527</v>
      </c>
      <c r="D9" s="6">
        <v>6820</v>
      </c>
      <c r="E9" s="6">
        <v>2</v>
      </c>
      <c r="F9" s="6">
        <v>774</v>
      </c>
      <c r="G9" s="6">
        <v>525</v>
      </c>
      <c r="H9" s="6">
        <v>6046</v>
      </c>
      <c r="I9" s="33">
        <f>(G9+H9)/(D9+C9)</f>
        <v>0.8943786579556281</v>
      </c>
    </row>
    <row r="10" spans="1:12" ht="21" customHeight="1" x14ac:dyDescent="0.45">
      <c r="A10" s="32">
        <v>7</v>
      </c>
      <c r="B10" s="20" t="s">
        <v>12</v>
      </c>
      <c r="C10" s="21">
        <v>434</v>
      </c>
      <c r="D10" s="21">
        <v>6820</v>
      </c>
      <c r="E10" s="21">
        <v>14</v>
      </c>
      <c r="F10" s="21">
        <v>2072</v>
      </c>
      <c r="G10" s="21">
        <v>420</v>
      </c>
      <c r="H10" s="21">
        <v>4748</v>
      </c>
      <c r="I10" s="22">
        <f>(G10+H10)/(D10+C10)</f>
        <v>0.71243451888613174</v>
      </c>
    </row>
    <row r="11" spans="1:12" ht="21" customHeight="1" x14ac:dyDescent="0.45">
      <c r="A11" s="31">
        <v>8</v>
      </c>
      <c r="B11" s="23" t="s">
        <v>5</v>
      </c>
      <c r="C11" s="24">
        <v>527</v>
      </c>
      <c r="D11" s="24">
        <v>6820</v>
      </c>
      <c r="E11" s="24">
        <v>153</v>
      </c>
      <c r="F11" s="24">
        <v>4258</v>
      </c>
      <c r="G11" s="24">
        <v>374</v>
      </c>
      <c r="H11" s="24">
        <v>2562</v>
      </c>
      <c r="I11" s="25">
        <f>(G11+H11)/(D11+C11)</f>
        <v>0.39961889206478834</v>
      </c>
    </row>
    <row r="12" spans="1:12" ht="21" customHeight="1" x14ac:dyDescent="0.45">
      <c r="A12" s="31">
        <v>9</v>
      </c>
      <c r="B12" s="23" t="s">
        <v>15</v>
      </c>
      <c r="C12" s="24">
        <v>496</v>
      </c>
      <c r="D12" s="24">
        <v>6820</v>
      </c>
      <c r="E12" s="24">
        <v>88</v>
      </c>
      <c r="F12" s="24">
        <v>5410</v>
      </c>
      <c r="G12" s="24">
        <v>408</v>
      </c>
      <c r="H12" s="24">
        <v>1410</v>
      </c>
      <c r="I12" s="25">
        <f>(G12+H12)/(D12+C12)</f>
        <v>0.24849644614543467</v>
      </c>
    </row>
    <row r="13" spans="1:12" ht="21" customHeight="1" x14ac:dyDescent="0.35">
      <c r="A13" s="31">
        <v>10</v>
      </c>
      <c r="B13" s="28" t="s">
        <v>4</v>
      </c>
      <c r="C13" s="29">
        <v>713</v>
      </c>
      <c r="D13" s="29">
        <v>6820</v>
      </c>
      <c r="E13" s="29">
        <v>713</v>
      </c>
      <c r="F13" s="29">
        <v>5530</v>
      </c>
      <c r="G13" s="29">
        <v>0</v>
      </c>
      <c r="H13" s="29">
        <v>1290</v>
      </c>
      <c r="I13" s="30">
        <f>(G13+H13)/(D13+C13)</f>
        <v>0.17124651533253685</v>
      </c>
    </row>
    <row r="14" spans="1:12" ht="21" customHeight="1" x14ac:dyDescent="0.45">
      <c r="A14" s="31">
        <v>11</v>
      </c>
      <c r="B14" s="23" t="s">
        <v>8</v>
      </c>
      <c r="C14" s="24">
        <v>527</v>
      </c>
      <c r="D14" s="24">
        <v>6820</v>
      </c>
      <c r="E14" s="24">
        <v>0</v>
      </c>
      <c r="F14" s="24">
        <v>6820</v>
      </c>
      <c r="G14" s="24">
        <v>527</v>
      </c>
      <c r="H14" s="24">
        <v>0</v>
      </c>
      <c r="I14" s="25">
        <f>(G14+H14)/(D14+C14)</f>
        <v>7.1729957805907171E-2</v>
      </c>
    </row>
    <row r="15" spans="1:12" ht="39" customHeight="1" x14ac:dyDescent="0.35">
      <c r="A15" s="31">
        <v>12</v>
      </c>
      <c r="B15" s="7" t="s">
        <v>9</v>
      </c>
      <c r="C15" s="8">
        <v>713</v>
      </c>
      <c r="D15" s="8">
        <v>6820</v>
      </c>
      <c r="E15" s="8">
        <v>713</v>
      </c>
      <c r="F15" s="8">
        <v>6820</v>
      </c>
      <c r="G15" s="8">
        <v>0</v>
      </c>
      <c r="H15" s="8">
        <v>0</v>
      </c>
      <c r="I15" s="27">
        <f>(G15+H15)/(D15+C15)</f>
        <v>0</v>
      </c>
    </row>
    <row r="16" spans="1:12" ht="39" customHeight="1" x14ac:dyDescent="0.35">
      <c r="A16" s="31">
        <v>13</v>
      </c>
      <c r="B16" s="7" t="s">
        <v>11</v>
      </c>
      <c r="C16" s="8">
        <v>527</v>
      </c>
      <c r="D16" s="8">
        <v>6820</v>
      </c>
      <c r="E16" s="8">
        <v>527</v>
      </c>
      <c r="F16" s="8">
        <v>6820</v>
      </c>
      <c r="G16" s="8">
        <v>0</v>
      </c>
      <c r="H16" s="8">
        <v>0</v>
      </c>
      <c r="I16" s="27">
        <f>(G16+H16)/(D16+C16)</f>
        <v>0</v>
      </c>
    </row>
  </sheetData>
  <sortState ref="A5:I18">
    <sortCondition descending="1" ref="I4:I18"/>
  </sortState>
  <mergeCells count="7">
    <mergeCell ref="B2:B3"/>
    <mergeCell ref="I2:I3"/>
    <mergeCell ref="A2:A3"/>
    <mergeCell ref="B1:I1"/>
    <mergeCell ref="C2:D2"/>
    <mergeCell ref="E2:F2"/>
    <mergeCell ref="G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2025-11-05T09:02:37Z</dcterms:created>
  <dcterms:modified xsi:type="dcterms:W3CDTF">2025-11-05T10:11:30Z</dcterms:modified>
</cp:coreProperties>
</file>