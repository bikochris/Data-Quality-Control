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ADocuments\Stations\AWS\REPORTING\JULY\AUGUST\"/>
    </mc:Choice>
  </mc:AlternateContent>
  <bookViews>
    <workbookView xWindow="-110" yWindow="-110" windowWidth="19420" windowHeight="11620" activeTab="4"/>
  </bookViews>
  <sheets>
    <sheet name="WEBMONITOR" sheetId="12" r:id="rId1"/>
    <sheet name="AWS_LIGHTINING" sheetId="10" r:id="rId2"/>
    <sheet name="AWS_LSI_METEO" sheetId="8" r:id="rId3"/>
    <sheet name="AWS_NAEB" sheetId="11" r:id="rId4"/>
    <sheet name="AUGUST_ARG" sheetId="7" r:id="rId5"/>
  </sheets>
  <definedNames>
    <definedName name="_xlnm._FilterDatabase" localSheetId="4" hidden="1">AUGUST_ARG!$F$1:$F$85</definedName>
    <definedName name="_xlnm._FilterDatabase" localSheetId="1" hidden="1">AWS_LIGHTINING!$E$1:$E$12</definedName>
    <definedName name="_xlnm._FilterDatabase" localSheetId="2" hidden="1">AWS_LSI_METEO!$E$2:$E$24</definedName>
    <definedName name="_xlnm._FilterDatabase" localSheetId="3" hidden="1">AWS_NAEB!$E$1:$E$15</definedName>
    <definedName name="_xlnm._FilterDatabase" localSheetId="0" hidden="1">WEBMONITOR!$CR$3:$CR$63</definedName>
  </definedNames>
  <calcPr calcId="162913"/>
</workbook>
</file>

<file path=xl/calcChain.xml><?xml version="1.0" encoding="utf-8"?>
<calcChain xmlns="http://schemas.openxmlformats.org/spreadsheetml/2006/main">
  <c r="CS7" i="12" l="1"/>
  <c r="CS8" i="12"/>
  <c r="CS9" i="12"/>
  <c r="CS10" i="12"/>
  <c r="CS11" i="12"/>
  <c r="CS12" i="12"/>
  <c r="CS13" i="12"/>
  <c r="CS14" i="12"/>
  <c r="CS15" i="12"/>
  <c r="CS16" i="12"/>
  <c r="CS17" i="12"/>
  <c r="CS18" i="12"/>
  <c r="CS19" i="12"/>
  <c r="CS20" i="12"/>
  <c r="CT20" i="12" s="1"/>
  <c r="CS21" i="12"/>
  <c r="CT21" i="12" s="1"/>
  <c r="CS22" i="12"/>
  <c r="CT22" i="12" s="1"/>
  <c r="CS23" i="12"/>
  <c r="CT23" i="12" s="1"/>
  <c r="CS25" i="12"/>
  <c r="CS26" i="12"/>
  <c r="CR26" i="12" s="1"/>
  <c r="CS27" i="12"/>
  <c r="CR27" i="12" s="1"/>
  <c r="CS28" i="12"/>
  <c r="CR28" i="12" s="1"/>
  <c r="CS29" i="12"/>
  <c r="CS30" i="12"/>
  <c r="CS31" i="12"/>
  <c r="CS32" i="12"/>
  <c r="CS34" i="12"/>
  <c r="CS35" i="12"/>
  <c r="CS36" i="12"/>
  <c r="CS37" i="12"/>
  <c r="CS38" i="12"/>
  <c r="CS39" i="12"/>
  <c r="CS40" i="12"/>
  <c r="CS41" i="12"/>
  <c r="CS42" i="12"/>
  <c r="CS44" i="12"/>
  <c r="CS45" i="12"/>
  <c r="CS46" i="12"/>
  <c r="CS47" i="12"/>
  <c r="CS48" i="12"/>
  <c r="CS49" i="12"/>
  <c r="CS50" i="12"/>
  <c r="CR50" i="12" s="1"/>
  <c r="CS51" i="12"/>
  <c r="CT51" i="12" s="1"/>
  <c r="CS52" i="12"/>
  <c r="CT52" i="12" s="1"/>
  <c r="CS54" i="12"/>
  <c r="CS55" i="12"/>
  <c r="CS56" i="12"/>
  <c r="CS57" i="12"/>
  <c r="CS58" i="12"/>
  <c r="CS59" i="12"/>
  <c r="CS60" i="12"/>
  <c r="CS61" i="12"/>
  <c r="CS62" i="12"/>
  <c r="CS63" i="12"/>
  <c r="CQ7" i="12"/>
  <c r="CQ8" i="12"/>
  <c r="CQ9" i="12"/>
  <c r="CQ10" i="12"/>
  <c r="CQ11" i="12"/>
  <c r="CQ12" i="12"/>
  <c r="CR12" i="12" s="1"/>
  <c r="CQ13" i="12"/>
  <c r="CR13" i="12" s="1"/>
  <c r="CQ14" i="12"/>
  <c r="CR14" i="12" s="1"/>
  <c r="CQ15" i="12"/>
  <c r="CR15" i="12" s="1"/>
  <c r="CQ16" i="12"/>
  <c r="CQ17" i="12"/>
  <c r="CT17" i="12" s="1"/>
  <c r="CQ18" i="12"/>
  <c r="CT18" i="12" s="1"/>
  <c r="CQ19" i="12"/>
  <c r="CQ20" i="12"/>
  <c r="CQ21" i="12"/>
  <c r="CQ22" i="12"/>
  <c r="CQ23" i="12"/>
  <c r="CQ25" i="12"/>
  <c r="CQ26" i="12"/>
  <c r="CQ27" i="12"/>
  <c r="CQ28" i="12"/>
  <c r="CQ29" i="12"/>
  <c r="CQ30" i="12"/>
  <c r="CQ31" i="12"/>
  <c r="CQ32" i="12"/>
  <c r="CQ34" i="12"/>
  <c r="CQ35" i="12"/>
  <c r="CQ36" i="12"/>
  <c r="CQ37" i="12"/>
  <c r="CT37" i="12" s="1"/>
  <c r="CQ38" i="12"/>
  <c r="CQ39" i="12"/>
  <c r="CT39" i="12" s="1"/>
  <c r="CQ40" i="12"/>
  <c r="CT40" i="12" s="1"/>
  <c r="CQ41" i="12"/>
  <c r="CT41" i="12" s="1"/>
  <c r="CQ42" i="12"/>
  <c r="CT42" i="12" s="1"/>
  <c r="CQ44" i="12"/>
  <c r="CQ45" i="12"/>
  <c r="CQ46" i="12"/>
  <c r="CQ47" i="12"/>
  <c r="CQ48" i="12"/>
  <c r="CQ49" i="12"/>
  <c r="CQ50" i="12"/>
  <c r="CQ51" i="12"/>
  <c r="CQ52" i="12"/>
  <c r="CQ54" i="12"/>
  <c r="CQ55" i="12"/>
  <c r="CQ56" i="12"/>
  <c r="CQ57" i="12"/>
  <c r="CQ58" i="12"/>
  <c r="CQ59" i="12"/>
  <c r="CQ60" i="12"/>
  <c r="CQ61" i="12"/>
  <c r="CT61" i="12" s="1"/>
  <c r="CQ62" i="12"/>
  <c r="CT62" i="12" s="1"/>
  <c r="CQ63" i="12"/>
  <c r="CS6" i="12"/>
  <c r="CQ6" i="12"/>
  <c r="CT19" i="12" l="1"/>
  <c r="CT63" i="12"/>
  <c r="CT49" i="12"/>
  <c r="CR35" i="12"/>
  <c r="CT11" i="12"/>
  <c r="CT48" i="12"/>
  <c r="CT58" i="12"/>
  <c r="CR34" i="12"/>
  <c r="CT10" i="12"/>
  <c r="CT47" i="12"/>
  <c r="CT57" i="12"/>
  <c r="CR32" i="12"/>
  <c r="CT9" i="12"/>
  <c r="CT46" i="12"/>
  <c r="CT56" i="12"/>
  <c r="CT31" i="12"/>
  <c r="CT8" i="12"/>
  <c r="CT45" i="12"/>
  <c r="CT55" i="12"/>
  <c r="CT30" i="12"/>
  <c r="CT7" i="12"/>
  <c r="CT44" i="12"/>
  <c r="CT54" i="12"/>
  <c r="CT29" i="12"/>
  <c r="CT6" i="12"/>
  <c r="CR49" i="12"/>
  <c r="CR25" i="12"/>
  <c r="CR48" i="12"/>
  <c r="CR47" i="12"/>
  <c r="CR46" i="12"/>
  <c r="CR59" i="12"/>
  <c r="CR11" i="12"/>
  <c r="CR58" i="12"/>
  <c r="CR10" i="12"/>
  <c r="CT27" i="12"/>
  <c r="CR57" i="12"/>
  <c r="CR9" i="12"/>
  <c r="CT26" i="12"/>
  <c r="CR56" i="12"/>
  <c r="CR8" i="12"/>
  <c r="CR41" i="12"/>
  <c r="CT25" i="12"/>
  <c r="CR55" i="12"/>
  <c r="CR7" i="12"/>
  <c r="CT16" i="12"/>
  <c r="CR54" i="12"/>
  <c r="CR52" i="12"/>
  <c r="CT38" i="12"/>
  <c r="CT14" i="12"/>
  <c r="CR51" i="12"/>
  <c r="CT13" i="12"/>
  <c r="CT60" i="12"/>
  <c r="CT36" i="12"/>
  <c r="CT12" i="12"/>
  <c r="CR37" i="12"/>
  <c r="CT50" i="12"/>
  <c r="CT28" i="12"/>
  <c r="CR31" i="12"/>
  <c r="CR29" i="12"/>
  <c r="CR22" i="12"/>
  <c r="CT35" i="12"/>
  <c r="CR36" i="12"/>
  <c r="CT59" i="12"/>
  <c r="CT15" i="12"/>
  <c r="CR45" i="12"/>
  <c r="CR21" i="12"/>
  <c r="CT34" i="12"/>
  <c r="CR30" i="12"/>
  <c r="CR23" i="12"/>
  <c r="CR44" i="12"/>
  <c r="CR42" i="12"/>
  <c r="CR20" i="12"/>
  <c r="CR19" i="12"/>
  <c r="CT32" i="12"/>
  <c r="CR62" i="12"/>
  <c r="CR18" i="12"/>
  <c r="CR6" i="12"/>
  <c r="CR61" i="12"/>
  <c r="CR39" i="12"/>
  <c r="CR17" i="12"/>
  <c r="CR63" i="12"/>
  <c r="CR40" i="12"/>
  <c r="CR60" i="12"/>
  <c r="CR38" i="12"/>
  <c r="CR16" i="12"/>
  <c r="CO5" i="12" l="1"/>
  <c r="CN5" i="12"/>
  <c r="CL5" i="12"/>
  <c r="CK5" i="12"/>
  <c r="CK3" i="12" s="1"/>
  <c r="CI5" i="12"/>
  <c r="CH5" i="12"/>
  <c r="CH3" i="12" s="1"/>
  <c r="CF5" i="12"/>
  <c r="CE5" i="12"/>
  <c r="CE3" i="12" s="1"/>
  <c r="CC5" i="12"/>
  <c r="CB5" i="12"/>
  <c r="CB3" i="12" s="1"/>
  <c r="BZ5" i="12"/>
  <c r="BY5" i="12"/>
  <c r="BW5" i="12"/>
  <c r="BV5" i="12"/>
  <c r="BV3" i="12" s="1"/>
  <c r="BT5" i="12"/>
  <c r="BS5" i="12"/>
  <c r="BS3" i="12" s="1"/>
  <c r="BQ5" i="12"/>
  <c r="BP5" i="12"/>
  <c r="BP3" i="12" s="1"/>
  <c r="BN5" i="12"/>
  <c r="BM5" i="12"/>
  <c r="BM3" i="12" s="1"/>
  <c r="BK5" i="12"/>
  <c r="BJ5" i="12"/>
  <c r="BH5" i="12"/>
  <c r="BG5" i="12"/>
  <c r="BG3" i="12" s="1"/>
  <c r="BE5" i="12"/>
  <c r="BD5" i="12"/>
  <c r="BD3" i="12" s="1"/>
  <c r="BB5" i="12"/>
  <c r="BA5" i="12"/>
  <c r="BA3" i="12" s="1"/>
  <c r="AY5" i="12"/>
  <c r="AX5" i="12"/>
  <c r="AX3" i="12" s="1"/>
  <c r="AV5" i="12"/>
  <c r="AU5" i="12"/>
  <c r="AU3" i="12" s="1"/>
  <c r="AS5" i="12"/>
  <c r="AR5" i="12"/>
  <c r="AR3" i="12" s="1"/>
  <c r="AP5" i="12"/>
  <c r="AO5" i="12"/>
  <c r="AO3" i="12" s="1"/>
  <c r="AM5" i="12"/>
  <c r="AL5" i="12"/>
  <c r="AL3" i="12" s="1"/>
  <c r="AJ5" i="12"/>
  <c r="AI5" i="12"/>
  <c r="AI3" i="12" s="1"/>
  <c r="AG5" i="12"/>
  <c r="AF5" i="12"/>
  <c r="AF3" i="12" s="1"/>
  <c r="AD5" i="12"/>
  <c r="AC5" i="12"/>
  <c r="AA5" i="12"/>
  <c r="Z5" i="12"/>
  <c r="AA3" i="12" s="1"/>
  <c r="X5" i="12"/>
  <c r="W5" i="12"/>
  <c r="X3" i="12" s="1"/>
  <c r="U5" i="12"/>
  <c r="T5" i="12"/>
  <c r="U3" i="12" s="1"/>
  <c r="R5" i="12"/>
  <c r="Q5" i="12"/>
  <c r="Q3" i="12" s="1"/>
  <c r="O5" i="12"/>
  <c r="N5" i="12"/>
  <c r="N3" i="12" s="1"/>
  <c r="L5" i="12"/>
  <c r="K5" i="12"/>
  <c r="K3" i="12" s="1"/>
  <c r="I5" i="12"/>
  <c r="H5" i="12"/>
  <c r="F5" i="12"/>
  <c r="E5" i="12"/>
  <c r="E3" i="12" s="1"/>
  <c r="CO3" i="12"/>
  <c r="CN3" i="12"/>
  <c r="Z3" i="12"/>
  <c r="W3" i="12"/>
  <c r="T3" i="12"/>
  <c r="H3" i="12" l="1"/>
  <c r="BE3" i="12"/>
  <c r="CL3" i="12"/>
  <c r="AC3" i="12"/>
  <c r="BJ3" i="12"/>
  <c r="I3" i="12"/>
  <c r="BZ3" i="12"/>
  <c r="AY3" i="12"/>
  <c r="CF3" i="12"/>
  <c r="BB3" i="12"/>
  <c r="CI3" i="12"/>
  <c r="BT3" i="12"/>
  <c r="AG3" i="12"/>
  <c r="AP3" i="12"/>
  <c r="AS3" i="12"/>
  <c r="AV3" i="12"/>
  <c r="BN3" i="12"/>
  <c r="BW3" i="12"/>
  <c r="BY3" i="12"/>
  <c r="R3" i="12"/>
  <c r="L3" i="12"/>
  <c r="CC3" i="12"/>
  <c r="BH3" i="12"/>
  <c r="BQ3" i="12"/>
  <c r="AM3" i="12"/>
  <c r="O3" i="12"/>
  <c r="AJ3" i="12"/>
  <c r="F3" i="12"/>
  <c r="AD3" i="12"/>
  <c r="BK3" i="12"/>
  <c r="G21" i="7" l="1"/>
  <c r="G22" i="7" s="1"/>
  <c r="F21" i="7"/>
  <c r="G43" i="7"/>
  <c r="G44" i="7" s="1"/>
  <c r="F43" i="7"/>
  <c r="F44" i="7" s="1"/>
  <c r="G30" i="7"/>
  <c r="G31" i="7" s="1"/>
  <c r="F30" i="7"/>
  <c r="F31" i="7" s="1"/>
  <c r="G64" i="7"/>
  <c r="G65" i="7" s="1"/>
  <c r="F64" i="7"/>
  <c r="F65" i="7" s="1"/>
  <c r="G82" i="7"/>
  <c r="G83" i="7" s="1"/>
  <c r="F82" i="7"/>
  <c r="F83" i="7" s="1"/>
  <c r="F22" i="7" l="1"/>
  <c r="F84" i="7" s="1"/>
  <c r="F85" i="7" s="1"/>
  <c r="F14" i="11"/>
  <c r="F15" i="11" s="1"/>
  <c r="E14" i="11"/>
  <c r="E15" i="11" s="1"/>
  <c r="G84" i="7"/>
  <c r="G85" i="7" s="1"/>
  <c r="F13" i="8"/>
  <c r="F14" i="8" s="1"/>
  <c r="E13" i="8"/>
  <c r="E14" i="8" s="1"/>
  <c r="F11" i="10" l="1"/>
  <c r="F12" i="10" s="1"/>
  <c r="E11" i="10"/>
  <c r="E12" i="10" s="1"/>
</calcChain>
</file>

<file path=xl/sharedStrings.xml><?xml version="1.0" encoding="utf-8"?>
<sst xmlns="http://schemas.openxmlformats.org/spreadsheetml/2006/main" count="1951" uniqueCount="310">
  <si>
    <t>NO</t>
  </si>
  <si>
    <t>GITEGA</t>
  </si>
  <si>
    <t>Nyarugenge</t>
  </si>
  <si>
    <t>YES</t>
  </si>
  <si>
    <t>Rwamagana</t>
  </si>
  <si>
    <t>Gatsibo</t>
  </si>
  <si>
    <t>GATENGA</t>
  </si>
  <si>
    <t>STATION</t>
  </si>
  <si>
    <t>DISTRICT</t>
  </si>
  <si>
    <t>AKAGERA NYUNGWE</t>
  </si>
  <si>
    <t xml:space="preserve">Nyagatare
</t>
  </si>
  <si>
    <t>AKAGERA RWISIRABO</t>
  </si>
  <si>
    <t xml:space="preserve">Kayonza
</t>
  </si>
  <si>
    <t>Bakokwe</t>
  </si>
  <si>
    <t xml:space="preserve">Muhanga
</t>
  </si>
  <si>
    <t>Bungwe</t>
  </si>
  <si>
    <t xml:space="preserve">Burera
</t>
  </si>
  <si>
    <t>Butare</t>
  </si>
  <si>
    <t>Huye</t>
  </si>
  <si>
    <t>Bweyeye</t>
  </si>
  <si>
    <t xml:space="preserve">Rusizi
</t>
  </si>
  <si>
    <t>Bwisige</t>
  </si>
  <si>
    <t xml:space="preserve">Gicumbi
</t>
  </si>
  <si>
    <t>Byimana</t>
  </si>
  <si>
    <t>Ruhango</t>
  </si>
  <si>
    <t>Cyeru</t>
  </si>
  <si>
    <t>Gabiro</t>
  </si>
  <si>
    <t>Gacurabwenge</t>
  </si>
  <si>
    <t>Kamonyi</t>
  </si>
  <si>
    <t>Kicukiro</t>
  </si>
  <si>
    <t>Gihinga</t>
  </si>
  <si>
    <t xml:space="preserve">Bugesera
</t>
  </si>
  <si>
    <t>GIKOMERO</t>
  </si>
  <si>
    <t xml:space="preserve">Gasabo
</t>
  </si>
  <si>
    <t>Gikongoro</t>
  </si>
  <si>
    <t xml:space="preserve">Nyamagabe
</t>
  </si>
  <si>
    <t>Gishyita</t>
  </si>
  <si>
    <t xml:space="preserve">Karongi
</t>
  </si>
  <si>
    <t>JALI</t>
  </si>
  <si>
    <t>Kabarore</t>
  </si>
  <si>
    <t>Kaduha</t>
  </si>
  <si>
    <t>Kamembe</t>
  </si>
  <si>
    <t>Kavumu</t>
  </si>
  <si>
    <t xml:space="preserve">Ngororero
</t>
  </si>
  <si>
    <t>Kawangire</t>
  </si>
  <si>
    <t>Ngoma</t>
  </si>
  <si>
    <t>Kenjobe</t>
  </si>
  <si>
    <t>Kirehe</t>
  </si>
  <si>
    <t xml:space="preserve">Kirehe
</t>
  </si>
  <si>
    <t>KIVUGIZA</t>
  </si>
  <si>
    <t>Mahama</t>
  </si>
  <si>
    <t>Mamba</t>
  </si>
  <si>
    <t xml:space="preserve">Gisagara
</t>
  </si>
  <si>
    <t>MATIMBA</t>
  </si>
  <si>
    <t>Mayange</t>
  </si>
  <si>
    <t>Mukarange</t>
  </si>
  <si>
    <t>Mulindi Tea</t>
  </si>
  <si>
    <t>Nasho_Mpanga</t>
  </si>
  <si>
    <t>Ndego</t>
  </si>
  <si>
    <t>NDUBA</t>
  </si>
  <si>
    <t>Ngororero</t>
  </si>
  <si>
    <t>Ntaruka</t>
  </si>
  <si>
    <t>Nyabimata</t>
  </si>
  <si>
    <t xml:space="preserve">Nyaruguru
</t>
  </si>
  <si>
    <t>NYABITIMBO</t>
  </si>
  <si>
    <t>Nyagatare</t>
  </si>
  <si>
    <t>Nyirangarama</t>
  </si>
  <si>
    <t>Rulindo</t>
  </si>
  <si>
    <t>Rubona</t>
  </si>
  <si>
    <t>RUBUNGO</t>
  </si>
  <si>
    <t>Rusasa</t>
  </si>
  <si>
    <t xml:space="preserve">Gakenke
</t>
  </si>
  <si>
    <t>RUSORORO</t>
  </si>
  <si>
    <t>RUSUMO POWER PLANT</t>
  </si>
  <si>
    <t>Rweru</t>
  </si>
  <si>
    <t>Tamira</t>
  </si>
  <si>
    <t xml:space="preserve">Rubavu
</t>
  </si>
  <si>
    <t>Wisumo</t>
  </si>
  <si>
    <t xml:space="preserve">Nyamasheke
</t>
  </si>
  <si>
    <t>Zaza</t>
  </si>
  <si>
    <t>Cyanika Border Market</t>
  </si>
  <si>
    <t>Comment</t>
  </si>
  <si>
    <t xml:space="preserve"> </t>
  </si>
  <si>
    <t>Cyumba</t>
  </si>
  <si>
    <t>PROVINCE</t>
  </si>
  <si>
    <t>SOUTH</t>
  </si>
  <si>
    <t>WEST</t>
  </si>
  <si>
    <t>NORTH</t>
  </si>
  <si>
    <t>EAST</t>
  </si>
  <si>
    <t>KIGALI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</si>
  <si>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</si>
  <si>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</si>
  <si>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</si>
  <si>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</si>
  <si>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</si>
  <si>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</si>
  <si>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</si>
  <si>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</si>
  <si>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</si>
  <si>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</si>
  <si>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</si>
  <si>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</si>
  <si>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</si>
  <si>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</si>
  <si>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</si>
  <si>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</si>
  <si>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</si>
  <si>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</si>
  <si>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</si>
  <si>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</si>
  <si>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</si>
  <si>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</si>
  <si>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</si>
  <si>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</si>
  <si>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</si>
  <si>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</si>
  <si>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</si>
  <si>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</si>
  <si>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</si>
  <si>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</si>
  <si>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</si>
  <si>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</si>
  <si>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</si>
  <si>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</si>
  <si>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</si>
  <si>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</si>
  <si>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</si>
  <si>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</si>
  <si>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</si>
  <si>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</si>
  <si>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</si>
  <si>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</si>
  <si>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</si>
  <si>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</si>
  <si>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</si>
  <si>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</si>
  <si>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</si>
  <si>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</si>
  <si>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</si>
  <si>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</si>
  <si>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</si>
  <si>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</si>
  <si>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Days</t>
  </si>
  <si>
    <t>Percent</t>
  </si>
  <si>
    <t>EASTERN PROVINCE</t>
  </si>
  <si>
    <t>KIGALI CITY</t>
  </si>
  <si>
    <t>SOURTH</t>
  </si>
  <si>
    <t>RWANDA</t>
  </si>
  <si>
    <t>NON_REPORTING</t>
  </si>
  <si>
    <t>REPORTING</t>
  </si>
  <si>
    <t>District</t>
  </si>
  <si>
    <t>Shangi Parish</t>
  </si>
  <si>
    <t>Nyamasheke</t>
  </si>
  <si>
    <t>Busasamana</t>
  </si>
  <si>
    <t>Rubavu</t>
  </si>
  <si>
    <t>Gisagara (District)</t>
  </si>
  <si>
    <t>Gisagara</t>
  </si>
  <si>
    <t>Rwimbogo</t>
  </si>
  <si>
    <t>Kinihira</t>
  </si>
  <si>
    <t>Kanzenze</t>
  </si>
  <si>
    <t>Cyinzuzi</t>
  </si>
  <si>
    <t>Bwishyura</t>
  </si>
  <si>
    <t>Karongi</t>
  </si>
  <si>
    <t>Rukozo</t>
  </si>
  <si>
    <t>Tumba</t>
  </si>
  <si>
    <t>Nzige</t>
  </si>
  <si>
    <t>Gahanga</t>
  </si>
  <si>
    <t>Mukindo</t>
  </si>
  <si>
    <t>Mushubati</t>
  </si>
  <si>
    <t>Rutsiro</t>
  </si>
  <si>
    <t>Ntyazo</t>
  </si>
  <si>
    <t>Nyanza</t>
  </si>
  <si>
    <t>Kivumu (Sector)</t>
  </si>
  <si>
    <t>Murundi East</t>
  </si>
  <si>
    <t>Kayonza</t>
  </si>
  <si>
    <t>Kigali Sector</t>
  </si>
  <si>
    <t>Karama / Huye</t>
  </si>
  <si>
    <t>Masaka</t>
  </si>
  <si>
    <t>Rugera</t>
  </si>
  <si>
    <t>Nyabihu</t>
  </si>
  <si>
    <t>Mutenderi</t>
  </si>
  <si>
    <t>Kitabi</t>
  </si>
  <si>
    <t>Nyamagabe</t>
  </si>
  <si>
    <t>Shagasha</t>
  </si>
  <si>
    <t>Rusizi</t>
  </si>
  <si>
    <t>Kiziguro</t>
  </si>
  <si>
    <t>Musha</t>
  </si>
  <si>
    <t>Muyira</t>
  </si>
  <si>
    <t>Kivumu Parish</t>
  </si>
  <si>
    <t>Muhanga</t>
  </si>
  <si>
    <t>Gakenke</t>
  </si>
  <si>
    <t>Cyabingo</t>
  </si>
  <si>
    <t>Rugerero</t>
  </si>
  <si>
    <t>Rwempesha</t>
  </si>
  <si>
    <t>Sake</t>
  </si>
  <si>
    <t>Nyange</t>
  </si>
  <si>
    <t>Musanze</t>
  </si>
  <si>
    <t>Muganza Parish</t>
  </si>
  <si>
    <t>Nyaruguru</t>
  </si>
  <si>
    <t>Rugunga</t>
  </si>
  <si>
    <t>Mwiri</t>
  </si>
  <si>
    <t>Gahara</t>
  </si>
  <si>
    <t>Tare</t>
  </si>
  <si>
    <t>Musaza</t>
  </si>
  <si>
    <t>Nyamugali</t>
  </si>
  <si>
    <t>kirehe</t>
  </si>
  <si>
    <t>Gicumbi</t>
  </si>
  <si>
    <t>Mwendo</t>
  </si>
  <si>
    <t>Jali</t>
  </si>
  <si>
    <t>Gasabo</t>
  </si>
  <si>
    <t>Ruhango Sector</t>
  </si>
  <si>
    <t>Cyahinda</t>
  </si>
  <si>
    <t>Nkanka</t>
  </si>
  <si>
    <t>Kibeho</t>
  </si>
  <si>
    <t>Rubirizi</t>
  </si>
  <si>
    <t>Save</t>
  </si>
  <si>
    <t>Ngera</t>
  </si>
  <si>
    <t>Gakenke District</t>
  </si>
  <si>
    <t>Ruhango South</t>
  </si>
  <si>
    <t>Kabarondo</t>
  </si>
  <si>
    <t>Rusatira</t>
  </si>
  <si>
    <t>Kabaya</t>
  </si>
  <si>
    <t>Cyanzarwe</t>
  </si>
  <si>
    <t>Murundi West</t>
  </si>
  <si>
    <t>Murambi</t>
  </si>
  <si>
    <t>Nyakarenzo</t>
  </si>
  <si>
    <t>Simbi</t>
  </si>
  <si>
    <t>Bweramana</t>
  </si>
  <si>
    <t>Nyarubuye Parish</t>
  </si>
  <si>
    <t>Gahini</t>
  </si>
  <si>
    <t>Kagitumba</t>
  </si>
  <si>
    <t>Kinoni</t>
  </si>
  <si>
    <t>Burera</t>
  </si>
  <si>
    <t>Minazi</t>
  </si>
  <si>
    <t>Rusiga</t>
  </si>
  <si>
    <t>Ndera</t>
  </si>
  <si>
    <t>Murama</t>
  </si>
  <si>
    <t>Gasange</t>
  </si>
  <si>
    <t>Province</t>
  </si>
  <si>
    <t>Station Name</t>
  </si>
  <si>
    <t>REPORTING STATUS</t>
  </si>
  <si>
    <t>LAST COMM</t>
  </si>
  <si>
    <t>JULY</t>
  </si>
  <si>
    <t xml:space="preserve"> Kayenzi</t>
  </si>
  <si>
    <t xml:space="preserve">Kamonyi </t>
  </si>
  <si>
    <t>Munini</t>
  </si>
  <si>
    <t>Rwankuba</t>
  </si>
  <si>
    <t xml:space="preserve">Karongi </t>
  </si>
  <si>
    <t>Muhororo</t>
  </si>
  <si>
    <t>Kanjong</t>
  </si>
  <si>
    <t xml:space="preserve"> Muringa</t>
  </si>
  <si>
    <t>Ruhuha</t>
  </si>
  <si>
    <t>Bugesera</t>
  </si>
  <si>
    <t>No data</t>
  </si>
  <si>
    <t>NYAMASHEKE</t>
  </si>
  <si>
    <t>RUSIZI</t>
  </si>
  <si>
    <t>BYUMBA</t>
  </si>
  <si>
    <t>GICUMBI</t>
  </si>
  <si>
    <t>RUHENGERI</t>
  </si>
  <si>
    <t>MUSANZE</t>
  </si>
  <si>
    <t>FIRST OF AUGUST</t>
  </si>
  <si>
    <t>R.PERCENTAGE</t>
  </si>
  <si>
    <t>KIGALI_Airport</t>
  </si>
  <si>
    <t>Rushashi</t>
  </si>
  <si>
    <t>Rwabicuma</t>
  </si>
  <si>
    <t>Muganza</t>
  </si>
  <si>
    <t>Katabagemu</t>
  </si>
  <si>
    <t>Rwinkwavu</t>
  </si>
  <si>
    <t>kinigi</t>
  </si>
  <si>
    <t>KICUKIRO</t>
  </si>
  <si>
    <t>GATARE</t>
  </si>
  <si>
    <t>RUGABANO</t>
  </si>
  <si>
    <t>MWITO</t>
  </si>
  <si>
    <t>GAHORORO</t>
  </si>
  <si>
    <t>MUSHUBI</t>
  </si>
  <si>
    <t>MUYANZA</t>
  </si>
  <si>
    <t>RUSENGE</t>
  </si>
  <si>
    <t>UNILIVER</t>
  </si>
  <si>
    <t>RWIMISHANYA</t>
  </si>
  <si>
    <t>COKA</t>
  </si>
  <si>
    <t>COCAMUSAZA</t>
  </si>
  <si>
    <t>KIREHE</t>
  </si>
  <si>
    <t>NGOMA</t>
  </si>
  <si>
    <t>KARONGI</t>
  </si>
  <si>
    <t>NYAMAGABE</t>
  </si>
  <si>
    <t>RULINDO</t>
  </si>
  <si>
    <t>NYARUGURU</t>
  </si>
  <si>
    <t>KAYONZA</t>
  </si>
  <si>
    <t>GAKENKE</t>
  </si>
  <si>
    <t>08/14/2025</t>
  </si>
  <si>
    <t>08/15/2025</t>
  </si>
  <si>
    <t>08/16/2025</t>
  </si>
  <si>
    <t>08/17/2025</t>
  </si>
  <si>
    <t>08/18/2025</t>
  </si>
  <si>
    <t>08/20/2025</t>
  </si>
  <si>
    <t>08/21/2025</t>
  </si>
  <si>
    <t>08/22/2025</t>
  </si>
  <si>
    <t>08/23/2025</t>
  </si>
  <si>
    <t>08/24/2025</t>
  </si>
  <si>
    <t>08/25/2025</t>
  </si>
  <si>
    <t>08/26/2025</t>
  </si>
  <si>
    <t>08/26/2026</t>
  </si>
  <si>
    <t>08/28/2025</t>
  </si>
  <si>
    <t>08/28/2026</t>
  </si>
  <si>
    <t>08/28/2027</t>
  </si>
  <si>
    <t>08/31/2025</t>
  </si>
  <si>
    <t>end of August</t>
  </si>
  <si>
    <t>AUGUST</t>
  </si>
  <si>
    <t>END OF AUGUST</t>
  </si>
  <si>
    <t>31/09/2025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</si>
</sst>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F800]dddd\,\ mmmm\ dd\,\ yyyy"/>
  </numFmts>
  <fonts count="8">
    <font>
      <sz val="10"/>
      <color theme="1"/>
      <name val="微软雅黑"/>
      <charset val="134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微软雅黑"/>
      <charset val="134"/>
    </font>
    <font>
      <sz val="10"/>
      <name val="微软雅黑"/>
      <charset val="134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微软雅黑"/>
      <charset val="134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/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9" fontId="0" fillId="0" borderId="0" xfId="1" applyFont="1" applyAlignment="1">
      <alignment vertical="center"/>
    </xf>
    <xf numFmtId="0" fontId="0" fillId="0" borderId="0" xfId="0" applyFill="1">
      <alignment vertical="center"/>
    </xf>
    <xf numFmtId="49" fontId="0" fillId="0" borderId="0" xfId="0" applyNumberFormat="1">
      <alignment vertical="center"/>
    </xf>
    <xf numFmtId="49" fontId="0" fillId="3" borderId="0" xfId="0" applyNumberFormat="1" applyFill="1">
      <alignment vertical="center"/>
    </xf>
    <xf numFmtId="49" fontId="0" fillId="0" borderId="0" xfId="0" applyNumberFormat="1" applyFill="1">
      <alignment vertical="center"/>
    </xf>
    <xf numFmtId="0" fontId="0" fillId="7" borderId="0" xfId="0" applyFill="1">
      <alignment vertical="center"/>
    </xf>
    <xf numFmtId="16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  <xf numFmtId="49" fontId="0" fillId="8" borderId="0" xfId="0" applyNumberFormat="1" applyFill="1" applyAlignment="1">
      <alignment vertical="center"/>
    </xf>
    <xf numFmtId="0" fontId="0" fillId="9" borderId="0" xfId="0" applyFill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6" fillId="0" borderId="1" xfId="0" applyFont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0" borderId="1" xfId="0" applyFont="1" applyBorder="1" applyAlignment="1">
      <alignment horizontal="left" vertical="top"/>
    </xf>
    <xf numFmtId="16" fontId="6" fillId="0" borderId="1" xfId="0" applyNumberFormat="1" applyFont="1" applyBorder="1" applyAlignment="1">
      <alignment horizontal="left"/>
    </xf>
    <xf numFmtId="16" fontId="6" fillId="0" borderId="1" xfId="0" applyNumberFormat="1" applyFont="1" applyFill="1" applyBorder="1" applyAlignment="1">
      <alignment horizontal="left"/>
    </xf>
    <xf numFmtId="0" fontId="6" fillId="10" borderId="1" xfId="0" applyFont="1" applyFill="1" applyBorder="1" applyAlignment="1">
      <alignment horizontal="left"/>
    </xf>
    <xf numFmtId="16" fontId="0" fillId="0" borderId="0" xfId="0" applyNumberFormat="1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14" fontId="6" fillId="0" borderId="1" xfId="0" applyNumberFormat="1" applyFont="1" applyBorder="1" applyAlignment="1">
      <alignment horizontal="left"/>
    </xf>
    <xf numFmtId="0" fontId="0" fillId="0" borderId="0" xfId="0" applyAlignment="1"/>
    <xf numFmtId="0" fontId="7" fillId="0" borderId="0" xfId="0" applyFont="1">
      <alignment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16" fontId="6" fillId="0" borderId="0" xfId="0" applyNumberFormat="1" applyFont="1" applyBorder="1" applyAlignment="1">
      <alignment horizontal="left"/>
    </xf>
    <xf numFmtId="14" fontId="2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16" fontId="5" fillId="0" borderId="1" xfId="0" applyNumberFormat="1" applyFont="1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T63"/>
  <sheetViews>
    <sheetView workbookViewId="0">
      <pane xSplit="4" ySplit="5" topLeftCell="CL10" activePane="bottomRight" state="frozenSplit"/>
      <selection pane="topRight" activeCell="E1" sqref="E1"/>
      <selection pane="bottomLeft" activeCell="A6" sqref="A6"/>
      <selection pane="bottomRight" activeCell="CP16" sqref="CP16"/>
    </sheetView>
  </sheetViews>
  <sheetFormatPr defaultRowHeight="14.5"/>
  <cols>
    <col min="2" max="2" width="20.75" bestFit="1" customWidth="1"/>
    <col min="3" max="3" width="9.4140625" bestFit="1" customWidth="1"/>
    <col min="4" max="4" width="12.75" customWidth="1"/>
    <col min="5" max="5" width="9.9140625" bestFit="1" customWidth="1"/>
    <col min="95" max="95" width="8.08203125" customWidth="1"/>
  </cols>
  <sheetData>
    <row r="3" spans="1:98">
      <c r="A3" s="6"/>
      <c r="B3" s="42" t="s">
        <v>7</v>
      </c>
      <c r="C3" s="42" t="s">
        <v>84</v>
      </c>
      <c r="D3" s="43" t="s">
        <v>8</v>
      </c>
      <c r="E3" s="4">
        <f>E5/(E5+F5)</f>
        <v>0.77777777777777779</v>
      </c>
      <c r="F3" s="4">
        <f>F5/(E5+F5)</f>
        <v>0.22222222222222221</v>
      </c>
      <c r="H3" s="4" t="e">
        <f>H5/(H5+I5)</f>
        <v>#DIV/0!</v>
      </c>
      <c r="I3" s="4" t="e">
        <f>I5/(H5+I5)</f>
        <v>#DIV/0!</v>
      </c>
      <c r="K3" s="4">
        <f t="shared" ref="K3" si="0">K5/(K5+L5)</f>
        <v>0.76923076923076927</v>
      </c>
      <c r="L3" s="4">
        <f t="shared" ref="L3" si="1">L5/(K5+L5)</f>
        <v>0.23076923076923078</v>
      </c>
      <c r="N3" s="4">
        <f t="shared" ref="N3" si="2">N5/(N5+O5)</f>
        <v>0.82692307692307687</v>
      </c>
      <c r="O3" s="4">
        <f t="shared" ref="O3" si="3">O5/(N5+O5)</f>
        <v>0.17307692307692307</v>
      </c>
      <c r="Q3" s="4">
        <f t="shared" ref="Q3" si="4">Q5/(Q5+R5)</f>
        <v>0.82692307692307687</v>
      </c>
      <c r="R3" s="4">
        <f t="shared" ref="R3" si="5">R5/(Q5+R5)</f>
        <v>0.17307692307692307</v>
      </c>
      <c r="T3" s="4">
        <f t="shared" ref="T3" si="6">T5/(T5+U5)</f>
        <v>0.78846153846153844</v>
      </c>
      <c r="U3" s="4">
        <f t="shared" ref="U3" si="7">U5/(T5+U5)</f>
        <v>0.21153846153846154</v>
      </c>
      <c r="W3" s="4" t="e">
        <f t="shared" ref="W3" si="8">W5/(W5+X5)</f>
        <v>#DIV/0!</v>
      </c>
      <c r="X3" s="4" t="e">
        <f t="shared" ref="X3" si="9">X5/(W5+X5)</f>
        <v>#DIV/0!</v>
      </c>
      <c r="Z3" s="4" t="e">
        <f t="shared" ref="Z3" si="10">Z5/(Z5+AA5)</f>
        <v>#DIV/0!</v>
      </c>
      <c r="AA3" s="4" t="e">
        <f t="shared" ref="AA3" si="11">AA5/(Z5+AA5)</f>
        <v>#DIV/0!</v>
      </c>
      <c r="AC3" s="4" t="e">
        <f t="shared" ref="AC3" si="12">AC5/(AC5+AD5)</f>
        <v>#DIV/0!</v>
      </c>
      <c r="AD3" s="4" t="e">
        <f t="shared" ref="AD3" si="13">AD5/(AC5+AD5)</f>
        <v>#DIV/0!</v>
      </c>
      <c r="AF3" s="4">
        <f t="shared" ref="AF3" si="14">AF5/(AF5+AG5)</f>
        <v>0.80769230769230771</v>
      </c>
      <c r="AG3" s="4">
        <f t="shared" ref="AG3" si="15">AG5/(AF5+AG5)</f>
        <v>0.19230769230769232</v>
      </c>
      <c r="AI3" s="4">
        <f t="shared" ref="AI3" si="16">AI5/(AI5+AJ5)</f>
        <v>0.84615384615384615</v>
      </c>
      <c r="AJ3" s="4">
        <f t="shared" ref="AJ3" si="17">AJ5/(AI5+AJ5)</f>
        <v>0.15384615384615385</v>
      </c>
      <c r="AL3" s="4">
        <f t="shared" ref="AL3" si="18">AL5/(AL5+AM5)</f>
        <v>0.78846153846153844</v>
      </c>
      <c r="AM3" s="4">
        <f t="shared" ref="AM3" si="19">AM5/(AL5+AM5)</f>
        <v>0.21153846153846154</v>
      </c>
      <c r="AO3" s="4">
        <f t="shared" ref="AO3" si="20">AO5/(AO5+AP5)</f>
        <v>0.84615384615384615</v>
      </c>
      <c r="AP3" s="4">
        <f t="shared" ref="AP3" si="21">AP5/(AO5+AP5)</f>
        <v>0.15384615384615385</v>
      </c>
      <c r="AR3" s="4">
        <f t="shared" ref="AR3" si="22">AR5/(AR5+AS5)</f>
        <v>0.80769230769230771</v>
      </c>
      <c r="AS3" s="4">
        <f t="shared" ref="AS3" si="23">AS5/(AR5+AS5)</f>
        <v>0.19230769230769232</v>
      </c>
      <c r="AU3" s="4" t="e">
        <f t="shared" ref="AU3" si="24">AU5/(AU5+AV5)</f>
        <v>#DIV/0!</v>
      </c>
      <c r="AV3" s="4" t="e">
        <f t="shared" ref="AV3" si="25">AV5/(AU5+AV5)</f>
        <v>#DIV/0!</v>
      </c>
      <c r="AX3" s="4" t="e">
        <f t="shared" ref="AX3" si="26">AX5/(AX5+AY5)</f>
        <v>#DIV/0!</v>
      </c>
      <c r="AY3" s="4" t="e">
        <f t="shared" ref="AY3" si="27">AY5/(AX5+AY5)</f>
        <v>#DIV/0!</v>
      </c>
      <c r="BA3" s="4">
        <f t="shared" ref="BA3" si="28">BA5/(BA5+BB5)</f>
        <v>0.80769230769230771</v>
      </c>
      <c r="BB3" s="4">
        <f t="shared" ref="BB3" si="29">BB5/(BA5+BB5)</f>
        <v>0.19230769230769232</v>
      </c>
      <c r="BD3" s="4">
        <f t="shared" ref="BD3" si="30">BD5/(BD5+BE5)</f>
        <v>0.82692307692307687</v>
      </c>
      <c r="BE3" s="4">
        <f t="shared" ref="BE3" si="31">BE5/(BD5+BE5)</f>
        <v>0.17307692307692307</v>
      </c>
      <c r="BG3" s="4">
        <f t="shared" ref="BG3" si="32">BG5/(BG5+BH5)</f>
        <v>0.82692307692307687</v>
      </c>
      <c r="BH3" s="4">
        <f t="shared" ref="BH3" si="33">BH5/(BG5+BH5)</f>
        <v>0.17307692307692307</v>
      </c>
      <c r="BJ3" s="4">
        <f t="shared" ref="BJ3" si="34">BJ5/(BJ5+BK5)</f>
        <v>0.86538461538461542</v>
      </c>
      <c r="BK3" s="4">
        <f t="shared" ref="BK3" si="35">BK5/(BJ5+BK5)</f>
        <v>0.13461538461538461</v>
      </c>
      <c r="BM3" s="4">
        <f t="shared" ref="BM3" si="36">BM5/(BM5+BN5)</f>
        <v>0.82692307692307687</v>
      </c>
      <c r="BN3" s="4">
        <f t="shared" ref="BN3" si="37">BN5/(BM5+BN5)</f>
        <v>0.17307692307692307</v>
      </c>
      <c r="BP3" s="4">
        <f t="shared" ref="BP3" si="38">BP5/(BP5+BQ5)</f>
        <v>0.82692307692307687</v>
      </c>
      <c r="BQ3" s="4">
        <f t="shared" ref="BQ3" si="39">BQ5/(BP5+BQ5)</f>
        <v>0.17307692307692307</v>
      </c>
      <c r="BS3" s="4">
        <f t="shared" ref="BS3" si="40">BS5/(BS5+BT5)</f>
        <v>0.84615384615384615</v>
      </c>
      <c r="BT3" s="4">
        <f t="shared" ref="BT3" si="41">BT5/(BS5+BT5)</f>
        <v>0.15384615384615385</v>
      </c>
      <c r="BV3" s="4">
        <f t="shared" ref="BV3" si="42">BV5/(BV5+BW5)</f>
        <v>0.80769230769230771</v>
      </c>
      <c r="BW3" s="4">
        <f t="shared" ref="BW3" si="43">BW5/(BV5+BW5)</f>
        <v>0.19230769230769232</v>
      </c>
      <c r="BY3" s="4">
        <f t="shared" ref="BY3" si="44">BY5/(BY5+BZ5)</f>
        <v>0</v>
      </c>
      <c r="BZ3" s="4">
        <f t="shared" ref="BZ3" si="45">BZ5/(BY5+BZ5)</f>
        <v>1</v>
      </c>
      <c r="CB3" s="4" t="e">
        <f t="shared" ref="CB3" si="46">CB5/(CB5+CC5)</f>
        <v>#DIV/0!</v>
      </c>
      <c r="CC3" s="4" t="e">
        <f t="shared" ref="CC3" si="47">CC5/(CB5+CC5)</f>
        <v>#DIV/0!</v>
      </c>
      <c r="CE3" s="4">
        <f t="shared" ref="CE3" si="48">CE5/(CE5+CF5)</f>
        <v>0.82692307692307687</v>
      </c>
      <c r="CF3" s="4">
        <f t="shared" ref="CF3" si="49">CF5/(CE5+CF5)</f>
        <v>0.17307692307692307</v>
      </c>
      <c r="CH3" s="4" t="e">
        <f t="shared" ref="CH3" si="50">CH5/(CH5+CI5)</f>
        <v>#DIV/0!</v>
      </c>
      <c r="CI3" s="4" t="e">
        <f t="shared" ref="CI3" si="51">CI5/(CH5+CI5)</f>
        <v>#DIV/0!</v>
      </c>
      <c r="CK3" s="4" t="e">
        <f t="shared" ref="CK3" si="52">CK5/(CK5+CL5)</f>
        <v>#DIV/0!</v>
      </c>
      <c r="CL3" s="4" t="e">
        <f t="shared" ref="CL3" si="53">CL5/(CK5+CL5)</f>
        <v>#DIV/0!</v>
      </c>
      <c r="CN3" s="4">
        <f t="shared" ref="CN3" si="54">CN5/(CN5+CO5)</f>
        <v>0.80769230769230771</v>
      </c>
      <c r="CO3" s="4">
        <f t="shared" ref="CO3" si="55">CO5/(CN5+CO5)</f>
        <v>0.19230769230769232</v>
      </c>
    </row>
    <row r="4" spans="1:98" ht="15">
      <c r="A4" s="6"/>
      <c r="B4" s="42"/>
      <c r="C4" s="42"/>
      <c r="D4" s="43"/>
      <c r="E4" s="35">
        <v>45665</v>
      </c>
      <c r="F4" s="35"/>
      <c r="G4" s="35"/>
      <c r="H4" s="38">
        <v>45695</v>
      </c>
      <c r="I4" s="38"/>
      <c r="J4" s="38"/>
      <c r="K4" s="38">
        <v>45724</v>
      </c>
      <c r="L4" s="38"/>
      <c r="M4" s="38"/>
      <c r="N4" s="38">
        <v>45755</v>
      </c>
      <c r="O4" s="38"/>
      <c r="P4" s="38"/>
      <c r="Q4" s="38">
        <v>45785</v>
      </c>
      <c r="R4" s="38"/>
      <c r="S4" s="38"/>
      <c r="T4" s="38">
        <v>45816</v>
      </c>
      <c r="U4" s="38"/>
      <c r="V4" s="38"/>
      <c r="W4" s="38">
        <v>45816</v>
      </c>
      <c r="X4" s="38"/>
      <c r="Y4" s="38"/>
      <c r="Z4" s="38">
        <v>45816</v>
      </c>
      <c r="AA4" s="38"/>
      <c r="AB4" s="38"/>
      <c r="AC4" s="38">
        <v>45816</v>
      </c>
      <c r="AD4" s="38"/>
      <c r="AE4" s="38"/>
      <c r="AF4" s="38">
        <v>45938</v>
      </c>
      <c r="AG4" s="38"/>
      <c r="AH4" s="38"/>
      <c r="AI4" s="38">
        <v>45969</v>
      </c>
      <c r="AJ4" s="38"/>
      <c r="AK4" s="38"/>
      <c r="AL4" s="38">
        <v>45999</v>
      </c>
      <c r="AM4" s="38"/>
      <c r="AN4" s="38"/>
      <c r="AO4" s="38" t="s">
        <v>289</v>
      </c>
      <c r="AP4" s="38"/>
      <c r="AQ4" s="38"/>
      <c r="AR4" s="38" t="s">
        <v>290</v>
      </c>
      <c r="AS4" s="38"/>
      <c r="AT4" s="38"/>
      <c r="AU4" s="38" t="s">
        <v>291</v>
      </c>
      <c r="AV4" s="38"/>
      <c r="AW4" s="38"/>
      <c r="AX4" s="38" t="s">
        <v>292</v>
      </c>
      <c r="AY4" s="38"/>
      <c r="AZ4" s="38"/>
      <c r="BA4" s="38" t="s">
        <v>293</v>
      </c>
      <c r="BB4" s="38"/>
      <c r="BC4" s="38"/>
      <c r="BD4" s="38" t="s">
        <v>294</v>
      </c>
      <c r="BE4" s="38"/>
      <c r="BF4" s="38"/>
      <c r="BG4" s="38" t="s">
        <v>295</v>
      </c>
      <c r="BH4" s="38"/>
      <c r="BI4" s="38"/>
      <c r="BJ4" s="38" t="s">
        <v>296</v>
      </c>
      <c r="BK4" s="38"/>
      <c r="BL4" s="38"/>
      <c r="BM4" s="38" t="s">
        <v>297</v>
      </c>
      <c r="BN4" s="38"/>
      <c r="BO4" s="38"/>
      <c r="BP4" s="38" t="s">
        <v>298</v>
      </c>
      <c r="BQ4" s="38"/>
      <c r="BR4" s="38"/>
      <c r="BS4" s="38" t="s">
        <v>299</v>
      </c>
      <c r="BT4" s="38"/>
      <c r="BU4" s="38"/>
      <c r="BV4" s="38" t="s">
        <v>300</v>
      </c>
      <c r="BW4" s="38"/>
      <c r="BX4" s="38"/>
      <c r="BY4" s="38" t="s">
        <v>300</v>
      </c>
      <c r="BZ4" s="38"/>
      <c r="CA4" s="38"/>
      <c r="CB4" s="38" t="s">
        <v>301</v>
      </c>
      <c r="CC4" s="38"/>
      <c r="CD4" s="38"/>
      <c r="CE4" s="38" t="s">
        <v>302</v>
      </c>
      <c r="CF4" s="38"/>
      <c r="CG4" s="38"/>
      <c r="CH4" s="38" t="s">
        <v>303</v>
      </c>
      <c r="CI4" s="38"/>
      <c r="CJ4" s="38"/>
      <c r="CK4" s="38" t="s">
        <v>304</v>
      </c>
      <c r="CL4" s="38"/>
      <c r="CM4" s="38"/>
      <c r="CN4" s="38" t="s">
        <v>305</v>
      </c>
      <c r="CO4" s="38"/>
      <c r="CP4" s="38"/>
      <c r="CQ4" s="36" t="s">
        <v>148</v>
      </c>
      <c r="CR4" s="36"/>
      <c r="CS4" s="37" t="s">
        <v>149</v>
      </c>
      <c r="CT4" s="37"/>
    </row>
    <row r="5" spans="1:98">
      <c r="A5" s="6"/>
      <c r="B5" s="42"/>
      <c r="C5" s="42"/>
      <c r="D5" s="43"/>
      <c r="E5" s="3">
        <f>COUNTIF(E6:E61,"YES")</f>
        <v>42</v>
      </c>
      <c r="F5" s="1">
        <f>COUNTIF(F6:F61,"NO")</f>
        <v>12</v>
      </c>
      <c r="G5" s="2" t="s">
        <v>81</v>
      </c>
      <c r="H5" s="3">
        <f>COUNTIF(H6:H61," YES")</f>
        <v>0</v>
      </c>
      <c r="I5" s="1">
        <f>COUNTIF(I6:I61,"NO ")</f>
        <v>0</v>
      </c>
      <c r="J5" s="2" t="s">
        <v>81</v>
      </c>
      <c r="K5" s="3">
        <f>COUNTIF(K6:K61,"YES")</f>
        <v>40</v>
      </c>
      <c r="L5" s="1">
        <f>COUNTIF(L6:L61,"NO")</f>
        <v>12</v>
      </c>
      <c r="M5" s="2" t="s">
        <v>81</v>
      </c>
      <c r="N5" s="3">
        <f>COUNTIF(N6:N61,"YES")</f>
        <v>43</v>
      </c>
      <c r="O5" s="1">
        <f>COUNTIF(O6:O61,"NO")</f>
        <v>9</v>
      </c>
      <c r="P5" s="2" t="s">
        <v>81</v>
      </c>
      <c r="Q5" s="3">
        <f>COUNTIF(Q6:Q61,"YES")</f>
        <v>43</v>
      </c>
      <c r="R5" s="1">
        <f>COUNTIF(R6:R61,"NO")</f>
        <v>9</v>
      </c>
      <c r="S5" s="2" t="s">
        <v>81</v>
      </c>
      <c r="T5" s="3">
        <f>COUNTIF(T6:T61,"YES")</f>
        <v>41</v>
      </c>
      <c r="U5" s="1">
        <f>COUNTIF(U6:U61,"NO")</f>
        <v>11</v>
      </c>
      <c r="V5" s="2" t="s">
        <v>81</v>
      </c>
      <c r="W5" s="3">
        <f>COUNTIF(W6:W61,"YES")</f>
        <v>0</v>
      </c>
      <c r="X5" s="1">
        <f>COUNTIF(X6:X61,"NO")</f>
        <v>0</v>
      </c>
      <c r="Y5" s="2" t="s">
        <v>81</v>
      </c>
      <c r="Z5" s="3">
        <f>COUNTIF(Z6:Z61,"YES")</f>
        <v>0</v>
      </c>
      <c r="AA5" s="1">
        <f>COUNTIF(AA6:AA61,"NO")</f>
        <v>0</v>
      </c>
      <c r="AB5" s="2" t="s">
        <v>81</v>
      </c>
      <c r="AC5" s="3">
        <f>COUNTIF(AC6:AC61,"YES")</f>
        <v>0</v>
      </c>
      <c r="AD5" s="1">
        <f>COUNTIF(AD6:AD61,"NO")</f>
        <v>0</v>
      </c>
      <c r="AE5" s="2" t="s">
        <v>81</v>
      </c>
      <c r="AF5" s="3">
        <f>COUNTIF(AF6:AF61,"YES")</f>
        <v>42</v>
      </c>
      <c r="AG5" s="1">
        <f>COUNTIF(AG6:AG61,"NO")</f>
        <v>10</v>
      </c>
      <c r="AH5" s="2" t="s">
        <v>81</v>
      </c>
      <c r="AI5" s="3">
        <f>COUNTIF(AI6:AI61,"YES")</f>
        <v>44</v>
      </c>
      <c r="AJ5" s="1">
        <f>COUNTIF(AJ6:AJ61,"NO")</f>
        <v>8</v>
      </c>
      <c r="AK5" s="2" t="s">
        <v>81</v>
      </c>
      <c r="AL5" s="3">
        <f>COUNTIF(AL6:AL61,"YES")</f>
        <v>41</v>
      </c>
      <c r="AM5" s="1">
        <f>COUNTIF(AM6:AM61,"NO")</f>
        <v>11</v>
      </c>
      <c r="AN5" s="2" t="s">
        <v>81</v>
      </c>
      <c r="AO5" s="3">
        <f>COUNTIF(AO6:AO61,"YES")</f>
        <v>44</v>
      </c>
      <c r="AP5" s="1">
        <f>COUNTIF(AP6:AP61,"NO")</f>
        <v>8</v>
      </c>
      <c r="AQ5" s="2" t="s">
        <v>81</v>
      </c>
      <c r="AR5" s="3">
        <f>COUNTIF(AR6:AR61,"YES")</f>
        <v>42</v>
      </c>
      <c r="AS5" s="1">
        <f>COUNTIF(AS6:AS61,"NO")</f>
        <v>10</v>
      </c>
      <c r="AT5" s="2" t="s">
        <v>81</v>
      </c>
      <c r="AU5" s="3">
        <f>COUNTIF(AU6:AU61,"YES")</f>
        <v>0</v>
      </c>
      <c r="AV5" s="1">
        <f>COUNTIF(AV6:AV61,"NO")</f>
        <v>0</v>
      </c>
      <c r="AW5" s="2" t="s">
        <v>81</v>
      </c>
      <c r="AX5" s="3">
        <f>COUNTIF(AX6:AX61,"YES")</f>
        <v>0</v>
      </c>
      <c r="AY5" s="1">
        <f>COUNTIF(AY6:AY61,"NO")</f>
        <v>0</v>
      </c>
      <c r="AZ5" s="2" t="s">
        <v>81</v>
      </c>
      <c r="BA5" s="3">
        <f>COUNTIF(BA6:BA61,"YES")</f>
        <v>42</v>
      </c>
      <c r="BB5" s="1">
        <f>COUNTIF(BB6:BB61,"NO")</f>
        <v>10</v>
      </c>
      <c r="BC5" s="2" t="s">
        <v>81</v>
      </c>
      <c r="BD5" s="3">
        <f>COUNTIF(BD6:BD61,"YES")</f>
        <v>43</v>
      </c>
      <c r="BE5" s="1">
        <f>COUNTIF(BE6:BE61,"NO")</f>
        <v>9</v>
      </c>
      <c r="BF5" s="2" t="s">
        <v>81</v>
      </c>
      <c r="BG5" s="3">
        <f>COUNTIF(BG6:BG61,"YES")</f>
        <v>43</v>
      </c>
      <c r="BH5" s="1">
        <f>COUNTIF(BH6:BH61,"NO")</f>
        <v>9</v>
      </c>
      <c r="BI5" s="2" t="s">
        <v>81</v>
      </c>
      <c r="BJ5" s="3">
        <f>COUNTIF(BJ6:BJ61,"YES")</f>
        <v>45</v>
      </c>
      <c r="BK5" s="1">
        <f>COUNTIF(BK6:BK61,"NO")</f>
        <v>7</v>
      </c>
      <c r="BL5" s="2" t="s">
        <v>81</v>
      </c>
      <c r="BM5" s="3">
        <f>COUNTIF(BM6:BM61,"YES")</f>
        <v>43</v>
      </c>
      <c r="BN5" s="1">
        <f>COUNTIF(BN6:BN61,"NO")</f>
        <v>9</v>
      </c>
      <c r="BO5" s="2" t="s">
        <v>81</v>
      </c>
      <c r="BP5" s="3">
        <f>COUNTIF(BP6:BP61,"YES")</f>
        <v>43</v>
      </c>
      <c r="BQ5" s="1">
        <f>COUNTIF(BQ6:BQ61,"NO")</f>
        <v>9</v>
      </c>
      <c r="BR5" s="2" t="s">
        <v>81</v>
      </c>
      <c r="BS5" s="3">
        <f>COUNTIF(BS6:BS61,"YES")</f>
        <v>44</v>
      </c>
      <c r="BT5" s="1">
        <f t="shared" ref="BT5" si="56">COUNTIF(BT6:BT61,"NO")</f>
        <v>8</v>
      </c>
      <c r="BU5" s="2" t="s">
        <v>81</v>
      </c>
      <c r="BV5" s="3">
        <f>COUNTIF(BV6:BV61,"YES")</f>
        <v>42</v>
      </c>
      <c r="BW5" s="1">
        <f>COUNTIF(BW6:BW61,"NO")</f>
        <v>10</v>
      </c>
      <c r="BX5" s="2" t="s">
        <v>81</v>
      </c>
      <c r="BY5" s="3">
        <f>COUNTIF(BY6:BY61,"YES")</f>
        <v>0</v>
      </c>
      <c r="BZ5" s="1">
        <f>COUNTIF(BZ6:BZ61," ")</f>
        <v>52</v>
      </c>
      <c r="CA5" s="2" t="s">
        <v>81</v>
      </c>
      <c r="CB5" s="3">
        <f t="shared" ref="CB5" si="57">COUNTIF(CB6:CB61,"YES")</f>
        <v>0</v>
      </c>
      <c r="CC5" s="1">
        <f t="shared" ref="CC5" si="58">COUNTIF(CC6:CC61,"NO")</f>
        <v>0</v>
      </c>
      <c r="CD5" s="2" t="s">
        <v>81</v>
      </c>
      <c r="CE5" s="3">
        <f t="shared" ref="CE5" si="59">COUNTIF(CE6:CE61,"YES")</f>
        <v>43</v>
      </c>
      <c r="CF5" s="1">
        <f t="shared" ref="CF5" si="60">COUNTIF(CF6:CF61,"NO")</f>
        <v>9</v>
      </c>
      <c r="CG5" s="2" t="s">
        <v>81</v>
      </c>
      <c r="CH5" s="3">
        <f t="shared" ref="CH5:CN5" si="61">COUNTIF(CH6:CH61,"YES")</f>
        <v>0</v>
      </c>
      <c r="CI5" s="1">
        <f t="shared" ref="CI5:CO5" si="62">COUNTIF(CI6:CI61,"NO")</f>
        <v>0</v>
      </c>
      <c r="CJ5" s="2" t="s">
        <v>81</v>
      </c>
      <c r="CK5" s="3">
        <f t="shared" si="61"/>
        <v>0</v>
      </c>
      <c r="CL5" s="1">
        <f t="shared" si="62"/>
        <v>0</v>
      </c>
      <c r="CM5" s="2" t="s">
        <v>81</v>
      </c>
      <c r="CN5" s="3">
        <f t="shared" si="61"/>
        <v>42</v>
      </c>
      <c r="CO5" s="1">
        <f t="shared" si="62"/>
        <v>10</v>
      </c>
      <c r="CP5" s="2" t="s">
        <v>81</v>
      </c>
      <c r="CQ5" s="9" t="s">
        <v>142</v>
      </c>
      <c r="CR5" s="9" t="s">
        <v>143</v>
      </c>
      <c r="CS5" t="s">
        <v>142</v>
      </c>
      <c r="CT5" t="s">
        <v>143</v>
      </c>
    </row>
    <row r="6" spans="1:98">
      <c r="A6" s="6" t="s">
        <v>90</v>
      </c>
      <c r="B6" s="6" t="s">
        <v>30</v>
      </c>
      <c r="C6" s="6" t="s">
        <v>88</v>
      </c>
      <c r="D6" t="s">
        <v>31</v>
      </c>
      <c r="E6" t="s">
        <v>3</v>
      </c>
      <c r="H6" s="1" t="s">
        <v>82</v>
      </c>
      <c r="I6" s="1"/>
      <c r="J6" s="1"/>
      <c r="K6" t="s">
        <v>3</v>
      </c>
      <c r="N6" t="s">
        <v>3</v>
      </c>
      <c r="Q6" t="s">
        <v>3</v>
      </c>
      <c r="T6" t="s">
        <v>3</v>
      </c>
      <c r="AF6" t="s">
        <v>3</v>
      </c>
      <c r="AI6" t="s">
        <v>3</v>
      </c>
      <c r="AL6" t="s">
        <v>3</v>
      </c>
      <c r="AO6" t="s">
        <v>3</v>
      </c>
      <c r="AR6" t="s">
        <v>3</v>
      </c>
      <c r="BA6" t="s">
        <v>3</v>
      </c>
      <c r="BD6" t="s">
        <v>3</v>
      </c>
      <c r="BG6" t="s">
        <v>3</v>
      </c>
      <c r="BJ6" t="s">
        <v>3</v>
      </c>
      <c r="BM6" t="s">
        <v>3</v>
      </c>
      <c r="BP6" t="s">
        <v>3</v>
      </c>
      <c r="BS6" t="s">
        <v>3</v>
      </c>
      <c r="BV6" t="s">
        <v>3</v>
      </c>
      <c r="BZ6" t="s">
        <v>82</v>
      </c>
      <c r="CE6" t="s">
        <v>3</v>
      </c>
      <c r="CN6" t="s">
        <v>3</v>
      </c>
      <c r="CQ6">
        <f t="shared" ref="CQ6:CQ63" si="63">COUNTIF(B6:CP6,"NO")</f>
        <v>0</v>
      </c>
      <c r="CR6" s="11">
        <f>(CQ6)/(CQ6+CS6)</f>
        <v>0</v>
      </c>
      <c r="CS6">
        <f t="shared" ref="CS6:CS63" si="64">COUNTIF(B6:CP6,"YES")</f>
        <v>20</v>
      </c>
      <c r="CT6" s="10">
        <f>CS6/(CQ6+CS6)</f>
        <v>1</v>
      </c>
    </row>
    <row r="7" spans="1:98">
      <c r="A7" s="6" t="s">
        <v>91</v>
      </c>
      <c r="B7" s="6" t="s">
        <v>54</v>
      </c>
      <c r="C7" s="6" t="s">
        <v>88</v>
      </c>
      <c r="D7" t="s">
        <v>31</v>
      </c>
      <c r="E7" t="s">
        <v>3</v>
      </c>
      <c r="H7" s="1" t="s">
        <v>82</v>
      </c>
      <c r="I7" s="1"/>
      <c r="J7" s="1"/>
      <c r="K7" t="s">
        <v>3</v>
      </c>
      <c r="N7" t="s">
        <v>3</v>
      </c>
      <c r="Q7" t="s">
        <v>3</v>
      </c>
      <c r="T7" t="s">
        <v>3</v>
      </c>
      <c r="AF7" t="s">
        <v>3</v>
      </c>
      <c r="AI7" t="s">
        <v>3</v>
      </c>
      <c r="AL7" t="s">
        <v>3</v>
      </c>
      <c r="AO7" t="s">
        <v>3</v>
      </c>
      <c r="AR7" t="s">
        <v>3</v>
      </c>
      <c r="BA7" t="s">
        <v>3</v>
      </c>
      <c r="BD7" t="s">
        <v>3</v>
      </c>
      <c r="BG7" t="s">
        <v>3</v>
      </c>
      <c r="BJ7" t="s">
        <v>3</v>
      </c>
      <c r="BM7" t="s">
        <v>3</v>
      </c>
      <c r="BP7" t="s">
        <v>3</v>
      </c>
      <c r="BS7" t="s">
        <v>3</v>
      </c>
      <c r="BV7" t="s">
        <v>3</v>
      </c>
      <c r="BZ7" t="s">
        <v>82</v>
      </c>
      <c r="CE7" t="s">
        <v>3</v>
      </c>
      <c r="CN7" t="s">
        <v>3</v>
      </c>
      <c r="CQ7">
        <f t="shared" si="63"/>
        <v>0</v>
      </c>
      <c r="CR7" s="11">
        <f t="shared" ref="CR7:CR63" si="65">(CQ7)/(CQ7+CS7)</f>
        <v>0</v>
      </c>
      <c r="CS7">
        <f t="shared" si="64"/>
        <v>20</v>
      </c>
      <c r="CT7" s="10">
        <f t="shared" ref="CT7:CT63" si="66">CS7/(CQ7+CS7)</f>
        <v>1</v>
      </c>
    </row>
    <row r="8" spans="1:98">
      <c r="A8" s="6" t="s">
        <v>92</v>
      </c>
      <c r="B8" s="6" t="s">
        <v>74</v>
      </c>
      <c r="C8" s="6" t="s">
        <v>88</v>
      </c>
      <c r="D8" t="s">
        <v>31</v>
      </c>
      <c r="E8" t="s">
        <v>3</v>
      </c>
      <c r="H8" s="1" t="s">
        <v>82</v>
      </c>
      <c r="I8" s="1"/>
      <c r="J8" s="1"/>
      <c r="K8" t="s">
        <v>3</v>
      </c>
      <c r="N8" t="s">
        <v>3</v>
      </c>
      <c r="Q8" t="s">
        <v>3</v>
      </c>
      <c r="T8" t="s">
        <v>3</v>
      </c>
      <c r="AF8" t="s">
        <v>3</v>
      </c>
      <c r="AI8" t="s">
        <v>3</v>
      </c>
      <c r="AL8" t="s">
        <v>3</v>
      </c>
      <c r="AO8" t="s">
        <v>3</v>
      </c>
      <c r="AR8" t="s">
        <v>3</v>
      </c>
      <c r="BA8" t="s">
        <v>3</v>
      </c>
      <c r="BD8" t="s">
        <v>3</v>
      </c>
      <c r="BG8" t="s">
        <v>3</v>
      </c>
      <c r="BJ8" t="s">
        <v>3</v>
      </c>
      <c r="BM8" t="s">
        <v>3</v>
      </c>
      <c r="BP8" t="s">
        <v>3</v>
      </c>
      <c r="BS8" t="s">
        <v>3</v>
      </c>
      <c r="BV8" t="s">
        <v>3</v>
      </c>
      <c r="BZ8" t="s">
        <v>82</v>
      </c>
      <c r="CE8" t="s">
        <v>3</v>
      </c>
      <c r="CN8" t="s">
        <v>3</v>
      </c>
      <c r="CQ8">
        <f t="shared" si="63"/>
        <v>0</v>
      </c>
      <c r="CR8" s="11">
        <f t="shared" si="65"/>
        <v>0</v>
      </c>
      <c r="CS8">
        <f t="shared" si="64"/>
        <v>20</v>
      </c>
      <c r="CT8" s="10">
        <f t="shared" si="66"/>
        <v>1</v>
      </c>
    </row>
    <row r="9" spans="1:98">
      <c r="A9" s="6" t="s">
        <v>93</v>
      </c>
      <c r="B9" s="6" t="s">
        <v>26</v>
      </c>
      <c r="C9" s="6" t="s">
        <v>88</v>
      </c>
      <c r="D9" t="s">
        <v>5</v>
      </c>
      <c r="E9" t="s">
        <v>3</v>
      </c>
      <c r="H9" s="1" t="s">
        <v>82</v>
      </c>
      <c r="I9" s="1"/>
      <c r="J9" s="1"/>
      <c r="K9" t="s">
        <v>3</v>
      </c>
      <c r="N9" t="s">
        <v>3</v>
      </c>
      <c r="Q9" t="s">
        <v>3</v>
      </c>
      <c r="T9" t="s">
        <v>3</v>
      </c>
      <c r="AF9" t="s">
        <v>3</v>
      </c>
      <c r="AI9" t="s">
        <v>3</v>
      </c>
      <c r="AL9" t="s">
        <v>3</v>
      </c>
      <c r="AO9" t="s">
        <v>3</v>
      </c>
      <c r="AR9" t="s">
        <v>3</v>
      </c>
      <c r="BA9" t="s">
        <v>3</v>
      </c>
      <c r="BD9" t="s">
        <v>3</v>
      </c>
      <c r="BG9" t="s">
        <v>3</v>
      </c>
      <c r="BJ9" t="s">
        <v>3</v>
      </c>
      <c r="BM9" t="s">
        <v>3</v>
      </c>
      <c r="BP9" t="s">
        <v>3</v>
      </c>
      <c r="BS9" t="s">
        <v>3</v>
      </c>
      <c r="BV9" t="s">
        <v>3</v>
      </c>
      <c r="BZ9" t="s">
        <v>82</v>
      </c>
      <c r="CE9" t="s">
        <v>3</v>
      </c>
      <c r="CN9" t="s">
        <v>3</v>
      </c>
      <c r="CQ9">
        <f t="shared" si="63"/>
        <v>0</v>
      </c>
      <c r="CR9" s="11">
        <f t="shared" si="65"/>
        <v>0</v>
      </c>
      <c r="CS9">
        <f t="shared" si="64"/>
        <v>20</v>
      </c>
      <c r="CT9" s="10">
        <f t="shared" si="66"/>
        <v>1</v>
      </c>
    </row>
    <row r="10" spans="1:98">
      <c r="A10" s="6" t="s">
        <v>94</v>
      </c>
      <c r="B10" s="7" t="s">
        <v>39</v>
      </c>
      <c r="C10" s="7" t="s">
        <v>88</v>
      </c>
      <c r="D10" s="1" t="s">
        <v>5</v>
      </c>
      <c r="E10" s="1"/>
      <c r="F10" s="1" t="s">
        <v>0</v>
      </c>
      <c r="G10" s="1"/>
      <c r="H10" s="1"/>
      <c r="I10" s="1" t="s">
        <v>82</v>
      </c>
      <c r="J10" s="1"/>
      <c r="K10" s="1"/>
      <c r="L10" s="1" t="s">
        <v>0</v>
      </c>
      <c r="M10" s="1"/>
      <c r="N10" s="1"/>
      <c r="O10" s="1" t="s">
        <v>0</v>
      </c>
      <c r="P10" s="1"/>
      <c r="Q10" s="1"/>
      <c r="R10" s="1" t="s">
        <v>0</v>
      </c>
      <c r="S10" s="1"/>
      <c r="T10" s="1"/>
      <c r="U10" s="1" t="s">
        <v>0</v>
      </c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 t="s">
        <v>0</v>
      </c>
      <c r="AH10" s="1"/>
      <c r="AI10" s="1"/>
      <c r="AJ10" s="1" t="s">
        <v>0</v>
      </c>
      <c r="AK10" s="1"/>
      <c r="AL10" s="1"/>
      <c r="AM10" s="1" t="s">
        <v>0</v>
      </c>
      <c r="AN10" s="1"/>
      <c r="AO10" s="1"/>
      <c r="AP10" s="1" t="s">
        <v>0</v>
      </c>
      <c r="AQ10" s="1"/>
      <c r="AR10" s="1"/>
      <c r="AS10" s="1" t="s">
        <v>0</v>
      </c>
      <c r="AT10" s="1"/>
      <c r="AU10" s="1"/>
      <c r="AV10" s="1"/>
      <c r="AW10" s="1"/>
      <c r="AX10" s="1"/>
      <c r="AY10" s="1"/>
      <c r="AZ10" s="1"/>
      <c r="BA10" s="1"/>
      <c r="BB10" s="1" t="s">
        <v>0</v>
      </c>
      <c r="BC10" s="1"/>
      <c r="BD10" s="1"/>
      <c r="BE10" s="1" t="s">
        <v>0</v>
      </c>
      <c r="BF10" s="1"/>
      <c r="BG10" s="1"/>
      <c r="BH10" s="1" t="s">
        <v>0</v>
      </c>
      <c r="BI10" s="1"/>
      <c r="BJ10" s="1"/>
      <c r="BK10" s="1" t="s">
        <v>0</v>
      </c>
      <c r="BL10" s="1"/>
      <c r="BM10" s="1"/>
      <c r="BN10" s="1" t="s">
        <v>0</v>
      </c>
      <c r="BO10" s="1"/>
      <c r="BP10" s="1"/>
      <c r="BQ10" s="1" t="s">
        <v>0</v>
      </c>
      <c r="BR10" s="1"/>
      <c r="BS10" s="1"/>
      <c r="BT10" s="1" t="s">
        <v>0</v>
      </c>
      <c r="BU10" s="1"/>
      <c r="BV10" s="1"/>
      <c r="BW10" s="1" t="s">
        <v>0</v>
      </c>
      <c r="BX10" s="1"/>
      <c r="BZ10" t="s">
        <v>82</v>
      </c>
      <c r="CE10" s="2"/>
      <c r="CF10" s="2" t="s">
        <v>0</v>
      </c>
      <c r="CG10" s="2"/>
      <c r="CO10" t="s">
        <v>0</v>
      </c>
      <c r="CQ10">
        <f t="shared" si="63"/>
        <v>20</v>
      </c>
      <c r="CR10" s="11">
        <f t="shared" si="65"/>
        <v>1</v>
      </c>
      <c r="CS10">
        <f t="shared" si="64"/>
        <v>0</v>
      </c>
      <c r="CT10" s="10">
        <f t="shared" si="66"/>
        <v>0</v>
      </c>
    </row>
    <row r="11" spans="1:98">
      <c r="A11" s="6" t="s">
        <v>95</v>
      </c>
      <c r="B11" s="6" t="s">
        <v>11</v>
      </c>
      <c r="C11" s="6" t="s">
        <v>88</v>
      </c>
      <c r="D11" t="s">
        <v>12</v>
      </c>
      <c r="E11" t="s">
        <v>3</v>
      </c>
      <c r="H11" s="1" t="s">
        <v>82</v>
      </c>
      <c r="I11" s="1"/>
      <c r="J11" s="1"/>
      <c r="K11" t="s">
        <v>3</v>
      </c>
      <c r="N11" t="s">
        <v>3</v>
      </c>
      <c r="Q11" t="s">
        <v>3</v>
      </c>
      <c r="T11" t="s">
        <v>3</v>
      </c>
      <c r="AF11" t="s">
        <v>3</v>
      </c>
      <c r="AI11" t="s">
        <v>3</v>
      </c>
      <c r="AL11" t="s">
        <v>3</v>
      </c>
      <c r="AO11" t="s">
        <v>3</v>
      </c>
      <c r="AR11" t="s">
        <v>3</v>
      </c>
      <c r="BA11" t="s">
        <v>3</v>
      </c>
      <c r="BD11" t="s">
        <v>3</v>
      </c>
      <c r="BG11" t="s">
        <v>3</v>
      </c>
      <c r="BJ11" t="s">
        <v>3</v>
      </c>
      <c r="BM11" t="s">
        <v>3</v>
      </c>
      <c r="BP11" t="s">
        <v>3</v>
      </c>
      <c r="BS11" t="s">
        <v>3</v>
      </c>
      <c r="BV11" t="s">
        <v>3</v>
      </c>
      <c r="BZ11" t="s">
        <v>82</v>
      </c>
      <c r="CE11" t="s">
        <v>3</v>
      </c>
      <c r="CN11" t="s">
        <v>3</v>
      </c>
      <c r="CQ11">
        <f t="shared" si="63"/>
        <v>0</v>
      </c>
      <c r="CR11" s="11">
        <f t="shared" si="65"/>
        <v>0</v>
      </c>
      <c r="CS11">
        <f t="shared" si="64"/>
        <v>20</v>
      </c>
      <c r="CT11" s="10">
        <f t="shared" si="66"/>
        <v>1</v>
      </c>
    </row>
    <row r="12" spans="1:98">
      <c r="A12" s="6" t="s">
        <v>96</v>
      </c>
      <c r="B12" s="6" t="s">
        <v>44</v>
      </c>
      <c r="C12" s="6" t="s">
        <v>88</v>
      </c>
      <c r="D12" t="s">
        <v>12</v>
      </c>
      <c r="E12" t="s">
        <v>3</v>
      </c>
      <c r="H12" s="1" t="s">
        <v>82</v>
      </c>
      <c r="I12" s="1"/>
      <c r="J12" s="1"/>
      <c r="K12" t="s">
        <v>3</v>
      </c>
      <c r="N12" t="s">
        <v>3</v>
      </c>
      <c r="Q12" t="s">
        <v>3</v>
      </c>
      <c r="T12" t="s">
        <v>3</v>
      </c>
      <c r="AF12" t="s">
        <v>3</v>
      </c>
      <c r="AI12" t="s">
        <v>3</v>
      </c>
      <c r="AL12" t="s">
        <v>3</v>
      </c>
      <c r="AO12" t="s">
        <v>3</v>
      </c>
      <c r="AR12" t="s">
        <v>3</v>
      </c>
      <c r="BA12" t="s">
        <v>3</v>
      </c>
      <c r="BD12" t="s">
        <v>3</v>
      </c>
      <c r="BG12" t="s">
        <v>3</v>
      </c>
      <c r="BJ12" t="s">
        <v>3</v>
      </c>
      <c r="BM12" t="s">
        <v>3</v>
      </c>
      <c r="BP12" t="s">
        <v>3</v>
      </c>
      <c r="BS12" t="s">
        <v>3</v>
      </c>
      <c r="BV12" t="s">
        <v>3</v>
      </c>
      <c r="BZ12" t="s">
        <v>82</v>
      </c>
      <c r="CE12" t="s">
        <v>3</v>
      </c>
      <c r="CN12" t="s">
        <v>3</v>
      </c>
      <c r="CQ12">
        <f t="shared" si="63"/>
        <v>0</v>
      </c>
      <c r="CR12" s="11">
        <f t="shared" si="65"/>
        <v>0</v>
      </c>
      <c r="CS12">
        <f t="shared" si="64"/>
        <v>20</v>
      </c>
      <c r="CT12" s="10">
        <f t="shared" si="66"/>
        <v>1</v>
      </c>
    </row>
    <row r="13" spans="1:98">
      <c r="A13" s="6" t="s">
        <v>97</v>
      </c>
      <c r="B13" s="6" t="s">
        <v>55</v>
      </c>
      <c r="C13" s="6" t="s">
        <v>88</v>
      </c>
      <c r="D13" t="s">
        <v>12</v>
      </c>
      <c r="E13" t="s">
        <v>3</v>
      </c>
      <c r="H13" s="1" t="s">
        <v>82</v>
      </c>
      <c r="I13" s="1"/>
      <c r="J13" s="1"/>
      <c r="K13" t="s">
        <v>3</v>
      </c>
      <c r="N13" t="s">
        <v>3</v>
      </c>
      <c r="Q13" t="s">
        <v>3</v>
      </c>
      <c r="T13" t="s">
        <v>3</v>
      </c>
      <c r="AF13" t="s">
        <v>3</v>
      </c>
      <c r="AI13" t="s">
        <v>3</v>
      </c>
      <c r="AL13" t="s">
        <v>3</v>
      </c>
      <c r="AO13" t="s">
        <v>3</v>
      </c>
      <c r="AR13" t="s">
        <v>3</v>
      </c>
      <c r="BA13" t="s">
        <v>3</v>
      </c>
      <c r="BD13" t="s">
        <v>3</v>
      </c>
      <c r="BG13" t="s">
        <v>3</v>
      </c>
      <c r="BJ13" t="s">
        <v>3</v>
      </c>
      <c r="BM13" t="s">
        <v>3</v>
      </c>
      <c r="BP13" t="s">
        <v>3</v>
      </c>
      <c r="BS13" t="s">
        <v>3</v>
      </c>
      <c r="BV13" t="s">
        <v>3</v>
      </c>
      <c r="BZ13" t="s">
        <v>82</v>
      </c>
      <c r="CE13" t="s">
        <v>3</v>
      </c>
      <c r="CN13" t="s">
        <v>3</v>
      </c>
      <c r="CQ13">
        <f t="shared" si="63"/>
        <v>0</v>
      </c>
      <c r="CR13" s="11">
        <f t="shared" si="65"/>
        <v>0</v>
      </c>
      <c r="CS13">
        <f t="shared" si="64"/>
        <v>20</v>
      </c>
      <c r="CT13" s="10">
        <f t="shared" si="66"/>
        <v>1</v>
      </c>
    </row>
    <row r="14" spans="1:98">
      <c r="A14" s="6" t="s">
        <v>98</v>
      </c>
      <c r="B14" s="6" t="s">
        <v>58</v>
      </c>
      <c r="C14" s="6" t="s">
        <v>88</v>
      </c>
      <c r="D14" t="s">
        <v>12</v>
      </c>
      <c r="E14" t="s">
        <v>3</v>
      </c>
      <c r="H14" s="1" t="s">
        <v>82</v>
      </c>
      <c r="I14" s="1"/>
      <c r="J14" s="1"/>
      <c r="K14" t="s">
        <v>3</v>
      </c>
      <c r="N14" t="s">
        <v>3</v>
      </c>
      <c r="Q14" t="s">
        <v>3</v>
      </c>
      <c r="T14" t="s">
        <v>3</v>
      </c>
      <c r="AF14" t="s">
        <v>3</v>
      </c>
      <c r="AI14" t="s">
        <v>3</v>
      </c>
      <c r="AL14" t="s">
        <v>3</v>
      </c>
      <c r="AO14" t="s">
        <v>3</v>
      </c>
      <c r="AR14" t="s">
        <v>3</v>
      </c>
      <c r="BA14" t="s">
        <v>3</v>
      </c>
      <c r="BD14" t="s">
        <v>3</v>
      </c>
      <c r="BG14" t="s">
        <v>3</v>
      </c>
      <c r="BJ14" t="s">
        <v>3</v>
      </c>
      <c r="BM14" t="s">
        <v>3</v>
      </c>
      <c r="BP14" t="s">
        <v>3</v>
      </c>
      <c r="BS14" t="s">
        <v>3</v>
      </c>
      <c r="BV14" t="s">
        <v>3</v>
      </c>
      <c r="BZ14" t="s">
        <v>82</v>
      </c>
      <c r="CE14" t="s">
        <v>3</v>
      </c>
      <c r="CN14" t="s">
        <v>3</v>
      </c>
      <c r="CQ14">
        <f t="shared" si="63"/>
        <v>0</v>
      </c>
      <c r="CR14" s="11">
        <f t="shared" si="65"/>
        <v>0</v>
      </c>
      <c r="CS14">
        <f t="shared" si="64"/>
        <v>20</v>
      </c>
      <c r="CT14" s="10">
        <f t="shared" si="66"/>
        <v>1</v>
      </c>
    </row>
    <row r="15" spans="1:98">
      <c r="A15" s="6" t="s">
        <v>99</v>
      </c>
      <c r="B15" s="6" t="s">
        <v>47</v>
      </c>
      <c r="C15" s="6" t="s">
        <v>88</v>
      </c>
      <c r="D15" t="s">
        <v>48</v>
      </c>
      <c r="E15" t="s">
        <v>3</v>
      </c>
      <c r="H15" s="1" t="s">
        <v>82</v>
      </c>
      <c r="I15" s="1"/>
      <c r="J15" s="1"/>
      <c r="K15" t="s">
        <v>3</v>
      </c>
      <c r="N15" t="s">
        <v>3</v>
      </c>
      <c r="Q15" t="s">
        <v>3</v>
      </c>
      <c r="T15" t="s">
        <v>3</v>
      </c>
      <c r="AF15" t="s">
        <v>3</v>
      </c>
      <c r="AI15" t="s">
        <v>3</v>
      </c>
      <c r="AL15" t="s">
        <v>3</v>
      </c>
      <c r="AO15" t="s">
        <v>3</v>
      </c>
      <c r="AR15" t="s">
        <v>3</v>
      </c>
      <c r="BA15" t="s">
        <v>3</v>
      </c>
      <c r="BD15" t="s">
        <v>3</v>
      </c>
      <c r="BG15" t="s">
        <v>3</v>
      </c>
      <c r="BJ15" t="s">
        <v>3</v>
      </c>
      <c r="BM15" t="s">
        <v>3</v>
      </c>
      <c r="BP15" t="s">
        <v>3</v>
      </c>
      <c r="BS15" t="s">
        <v>3</v>
      </c>
      <c r="BV15" t="s">
        <v>3</v>
      </c>
      <c r="BZ15" t="s">
        <v>82</v>
      </c>
      <c r="CE15" t="s">
        <v>3</v>
      </c>
      <c r="CN15" t="s">
        <v>3</v>
      </c>
      <c r="CQ15">
        <f t="shared" si="63"/>
        <v>0</v>
      </c>
      <c r="CR15" s="11">
        <f t="shared" si="65"/>
        <v>0</v>
      </c>
      <c r="CS15">
        <f t="shared" si="64"/>
        <v>20</v>
      </c>
      <c r="CT15" s="10">
        <f t="shared" si="66"/>
        <v>1</v>
      </c>
    </row>
    <row r="16" spans="1:98">
      <c r="A16" s="6" t="s">
        <v>100</v>
      </c>
      <c r="B16" s="6" t="s">
        <v>50</v>
      </c>
      <c r="C16" s="6" t="s">
        <v>88</v>
      </c>
      <c r="D16" t="s">
        <v>48</v>
      </c>
      <c r="E16" t="s">
        <v>3</v>
      </c>
      <c r="H16" s="1" t="s">
        <v>82</v>
      </c>
      <c r="I16" s="1"/>
      <c r="J16" s="1"/>
      <c r="K16" t="s">
        <v>3</v>
      </c>
      <c r="N16" t="s">
        <v>3</v>
      </c>
      <c r="Q16" t="s">
        <v>3</v>
      </c>
      <c r="T16" t="s">
        <v>3</v>
      </c>
      <c r="AF16" t="s">
        <v>3</v>
      </c>
      <c r="AI16" t="s">
        <v>3</v>
      </c>
      <c r="AL16" t="s">
        <v>3</v>
      </c>
      <c r="AO16" t="s">
        <v>3</v>
      </c>
      <c r="AR16" t="s">
        <v>3</v>
      </c>
      <c r="BA16" t="s">
        <v>3</v>
      </c>
      <c r="BD16" t="s">
        <v>3</v>
      </c>
      <c r="BG16" t="s">
        <v>3</v>
      </c>
      <c r="BJ16" t="s">
        <v>3</v>
      </c>
      <c r="BM16" t="s">
        <v>3</v>
      </c>
      <c r="BP16" t="s">
        <v>3</v>
      </c>
      <c r="BS16" t="s">
        <v>3</v>
      </c>
      <c r="BV16" t="s">
        <v>3</v>
      </c>
      <c r="BZ16" t="s">
        <v>82</v>
      </c>
      <c r="CE16" t="s">
        <v>3</v>
      </c>
      <c r="CN16" t="s">
        <v>3</v>
      </c>
      <c r="CQ16">
        <f t="shared" si="63"/>
        <v>0</v>
      </c>
      <c r="CR16" s="11">
        <f t="shared" si="65"/>
        <v>0</v>
      </c>
      <c r="CS16">
        <f t="shared" si="64"/>
        <v>20</v>
      </c>
      <c r="CT16" s="10">
        <f t="shared" si="66"/>
        <v>1</v>
      </c>
    </row>
    <row r="17" spans="1:98">
      <c r="A17" s="6" t="s">
        <v>101</v>
      </c>
      <c r="B17" s="6" t="s">
        <v>57</v>
      </c>
      <c r="C17" s="6" t="s">
        <v>88</v>
      </c>
      <c r="D17" t="s">
        <v>48</v>
      </c>
      <c r="E17" t="s">
        <v>3</v>
      </c>
      <c r="H17" s="1" t="s">
        <v>82</v>
      </c>
      <c r="I17" s="1"/>
      <c r="J17" s="1"/>
      <c r="K17" t="s">
        <v>3</v>
      </c>
      <c r="N17" t="s">
        <v>3</v>
      </c>
      <c r="Q17" t="s">
        <v>3</v>
      </c>
      <c r="T17" t="s">
        <v>3</v>
      </c>
      <c r="AF17" t="s">
        <v>3</v>
      </c>
      <c r="AI17" t="s">
        <v>3</v>
      </c>
      <c r="AL17" t="s">
        <v>3</v>
      </c>
      <c r="AO17" t="s">
        <v>3</v>
      </c>
      <c r="AR17" t="s">
        <v>3</v>
      </c>
      <c r="BA17" t="s">
        <v>3</v>
      </c>
      <c r="BD17" t="s">
        <v>3</v>
      </c>
      <c r="BG17" t="s">
        <v>3</v>
      </c>
      <c r="BJ17" t="s">
        <v>3</v>
      </c>
      <c r="BM17" t="s">
        <v>3</v>
      </c>
      <c r="BP17" t="s">
        <v>3</v>
      </c>
      <c r="BS17" t="s">
        <v>3</v>
      </c>
      <c r="BV17" t="s">
        <v>3</v>
      </c>
      <c r="BZ17" t="s">
        <v>82</v>
      </c>
      <c r="CE17" t="s">
        <v>3</v>
      </c>
      <c r="CN17" t="s">
        <v>3</v>
      </c>
      <c r="CQ17">
        <f t="shared" si="63"/>
        <v>0</v>
      </c>
      <c r="CR17" s="11">
        <f t="shared" si="65"/>
        <v>0</v>
      </c>
      <c r="CS17">
        <f t="shared" si="64"/>
        <v>20</v>
      </c>
      <c r="CT17" s="10">
        <f t="shared" si="66"/>
        <v>1</v>
      </c>
    </row>
    <row r="18" spans="1:98">
      <c r="A18" s="6" t="s">
        <v>102</v>
      </c>
      <c r="B18" s="6" t="s">
        <v>73</v>
      </c>
      <c r="C18" s="6" t="s">
        <v>88</v>
      </c>
      <c r="D18" t="s">
        <v>48</v>
      </c>
      <c r="E18" t="s">
        <v>3</v>
      </c>
      <c r="H18" s="1" t="s">
        <v>82</v>
      </c>
      <c r="I18" s="1"/>
      <c r="J18" s="1"/>
      <c r="K18" t="s">
        <v>3</v>
      </c>
      <c r="N18" t="s">
        <v>3</v>
      </c>
      <c r="Q18" t="s">
        <v>3</v>
      </c>
      <c r="T18" t="s">
        <v>3</v>
      </c>
      <c r="AF18" t="s">
        <v>3</v>
      </c>
      <c r="AI18" t="s">
        <v>3</v>
      </c>
      <c r="AL18" t="s">
        <v>3</v>
      </c>
      <c r="AO18" t="s">
        <v>3</v>
      </c>
      <c r="AR18" t="s">
        <v>3</v>
      </c>
      <c r="BA18" t="s">
        <v>3</v>
      </c>
      <c r="BD18" t="s">
        <v>3</v>
      </c>
      <c r="BG18" t="s">
        <v>3</v>
      </c>
      <c r="BJ18" t="s">
        <v>3</v>
      </c>
      <c r="BM18" t="s">
        <v>3</v>
      </c>
      <c r="BP18" t="s">
        <v>3</v>
      </c>
      <c r="BS18" t="s">
        <v>3</v>
      </c>
      <c r="BV18" t="s">
        <v>3</v>
      </c>
      <c r="BZ18" t="s">
        <v>82</v>
      </c>
      <c r="CE18" t="s">
        <v>3</v>
      </c>
      <c r="CN18" t="s">
        <v>3</v>
      </c>
      <c r="CQ18">
        <f t="shared" si="63"/>
        <v>0</v>
      </c>
      <c r="CR18" s="11">
        <f t="shared" si="65"/>
        <v>0</v>
      </c>
      <c r="CS18">
        <f t="shared" si="64"/>
        <v>20</v>
      </c>
      <c r="CT18" s="10">
        <f t="shared" si="66"/>
        <v>1</v>
      </c>
    </row>
    <row r="19" spans="1:98">
      <c r="A19" s="6" t="s">
        <v>103</v>
      </c>
      <c r="B19" s="6" t="s">
        <v>9</v>
      </c>
      <c r="C19" s="6" t="s">
        <v>88</v>
      </c>
      <c r="D19" t="s">
        <v>10</v>
      </c>
      <c r="E19" t="s">
        <v>3</v>
      </c>
      <c r="H19" s="1" t="s">
        <v>82</v>
      </c>
      <c r="I19" s="1"/>
      <c r="J19" s="1"/>
      <c r="K19" t="s">
        <v>3</v>
      </c>
      <c r="N19" t="s">
        <v>3</v>
      </c>
      <c r="Q19" t="s">
        <v>3</v>
      </c>
      <c r="T19" t="s">
        <v>3</v>
      </c>
      <c r="AF19" t="s">
        <v>3</v>
      </c>
      <c r="AI19" t="s">
        <v>3</v>
      </c>
      <c r="AL19" t="s">
        <v>3</v>
      </c>
      <c r="AO19" t="s">
        <v>3</v>
      </c>
      <c r="AR19" t="s">
        <v>3</v>
      </c>
      <c r="BA19" t="s">
        <v>3</v>
      </c>
      <c r="BD19" t="s">
        <v>3</v>
      </c>
      <c r="BG19" t="s">
        <v>3</v>
      </c>
      <c r="BJ19" t="s">
        <v>3</v>
      </c>
      <c r="BM19" t="s">
        <v>3</v>
      </c>
      <c r="BP19" t="s">
        <v>3</v>
      </c>
      <c r="BS19" t="s">
        <v>3</v>
      </c>
      <c r="BV19" t="s">
        <v>3</v>
      </c>
      <c r="BZ19" t="s">
        <v>82</v>
      </c>
      <c r="CE19" t="s">
        <v>3</v>
      </c>
      <c r="CN19" t="s">
        <v>3</v>
      </c>
      <c r="CQ19">
        <f t="shared" si="63"/>
        <v>0</v>
      </c>
      <c r="CR19" s="11">
        <f t="shared" si="65"/>
        <v>0</v>
      </c>
      <c r="CS19">
        <f t="shared" si="64"/>
        <v>20</v>
      </c>
      <c r="CT19" s="10">
        <f t="shared" si="66"/>
        <v>1</v>
      </c>
    </row>
    <row r="20" spans="1:98">
      <c r="A20" s="6" t="s">
        <v>104</v>
      </c>
      <c r="B20" s="6" t="s">
        <v>46</v>
      </c>
      <c r="C20" s="6" t="s">
        <v>88</v>
      </c>
      <c r="D20" t="s">
        <v>10</v>
      </c>
      <c r="E20" t="s">
        <v>3</v>
      </c>
      <c r="H20" s="1" t="s">
        <v>82</v>
      </c>
      <c r="I20" s="1"/>
      <c r="J20" s="1"/>
      <c r="K20" t="s">
        <v>3</v>
      </c>
      <c r="N20" t="s">
        <v>3</v>
      </c>
      <c r="Q20" t="s">
        <v>3</v>
      </c>
      <c r="T20" t="s">
        <v>3</v>
      </c>
      <c r="AF20" t="s">
        <v>3</v>
      </c>
      <c r="AI20" t="s">
        <v>3</v>
      </c>
      <c r="AL20" t="s">
        <v>3</v>
      </c>
      <c r="AO20" t="s">
        <v>3</v>
      </c>
      <c r="AR20" t="s">
        <v>3</v>
      </c>
      <c r="BA20" t="s">
        <v>3</v>
      </c>
      <c r="BD20" t="s">
        <v>3</v>
      </c>
      <c r="BG20" t="s">
        <v>3</v>
      </c>
      <c r="BJ20" t="s">
        <v>3</v>
      </c>
      <c r="BM20" t="s">
        <v>3</v>
      </c>
      <c r="BP20" t="s">
        <v>3</v>
      </c>
      <c r="BS20" t="s">
        <v>3</v>
      </c>
      <c r="BV20" t="s">
        <v>3</v>
      </c>
      <c r="BZ20" t="s">
        <v>82</v>
      </c>
      <c r="CE20" t="s">
        <v>3</v>
      </c>
      <c r="CN20" t="s">
        <v>3</v>
      </c>
      <c r="CQ20">
        <f t="shared" si="63"/>
        <v>0</v>
      </c>
      <c r="CR20" s="11">
        <f t="shared" si="65"/>
        <v>0</v>
      </c>
      <c r="CS20">
        <f t="shared" si="64"/>
        <v>20</v>
      </c>
      <c r="CT20" s="10">
        <f t="shared" si="66"/>
        <v>1</v>
      </c>
    </row>
    <row r="21" spans="1:98">
      <c r="A21" s="6" t="s">
        <v>105</v>
      </c>
      <c r="B21" s="6" t="s">
        <v>53</v>
      </c>
      <c r="C21" s="6" t="s">
        <v>88</v>
      </c>
      <c r="D21" t="s">
        <v>10</v>
      </c>
      <c r="E21" t="s">
        <v>3</v>
      </c>
      <c r="H21" s="1" t="s">
        <v>82</v>
      </c>
      <c r="I21" s="1"/>
      <c r="J21" s="1"/>
      <c r="K21" t="s">
        <v>3</v>
      </c>
      <c r="N21" t="s">
        <v>3</v>
      </c>
      <c r="Q21" t="s">
        <v>3</v>
      </c>
      <c r="T21" t="s">
        <v>3</v>
      </c>
      <c r="AF21" t="s">
        <v>3</v>
      </c>
      <c r="AI21" t="s">
        <v>3</v>
      </c>
      <c r="AL21" t="s">
        <v>3</v>
      </c>
      <c r="AO21" t="s">
        <v>3</v>
      </c>
      <c r="AR21" t="s">
        <v>3</v>
      </c>
      <c r="BA21" t="s">
        <v>3</v>
      </c>
      <c r="BD21" t="s">
        <v>3</v>
      </c>
      <c r="BG21" t="s">
        <v>3</v>
      </c>
      <c r="BJ21" t="s">
        <v>3</v>
      </c>
      <c r="BM21" t="s">
        <v>3</v>
      </c>
      <c r="BP21" t="s">
        <v>3</v>
      </c>
      <c r="BS21" t="s">
        <v>3</v>
      </c>
      <c r="BV21" t="s">
        <v>3</v>
      </c>
      <c r="BZ21" t="s">
        <v>82</v>
      </c>
      <c r="CE21" t="s">
        <v>3</v>
      </c>
      <c r="CN21" t="s">
        <v>3</v>
      </c>
      <c r="CQ21">
        <f t="shared" si="63"/>
        <v>0</v>
      </c>
      <c r="CR21" s="11">
        <f t="shared" si="65"/>
        <v>0</v>
      </c>
      <c r="CS21">
        <f t="shared" si="64"/>
        <v>20</v>
      </c>
      <c r="CT21" s="10">
        <f t="shared" si="66"/>
        <v>1</v>
      </c>
    </row>
    <row r="22" spans="1:98">
      <c r="A22" s="6" t="s">
        <v>106</v>
      </c>
      <c r="B22" s="8" t="s">
        <v>4</v>
      </c>
      <c r="C22" s="8" t="s">
        <v>88</v>
      </c>
      <c r="D22" s="5" t="s">
        <v>4</v>
      </c>
      <c r="E22" t="s">
        <v>3</v>
      </c>
      <c r="H22" s="1" t="s">
        <v>82</v>
      </c>
      <c r="I22" s="1"/>
      <c r="J22" s="1"/>
      <c r="K22" t="s">
        <v>3</v>
      </c>
      <c r="N22" t="s">
        <v>3</v>
      </c>
      <c r="Q22" t="s">
        <v>3</v>
      </c>
      <c r="T22" t="s">
        <v>3</v>
      </c>
      <c r="AF22" t="s">
        <v>3</v>
      </c>
      <c r="AI22" t="s">
        <v>3</v>
      </c>
      <c r="AL22" t="s">
        <v>3</v>
      </c>
      <c r="AO22" t="s">
        <v>3</v>
      </c>
      <c r="AR22" t="s">
        <v>3</v>
      </c>
      <c r="BA22" t="s">
        <v>3</v>
      </c>
      <c r="BD22" t="s">
        <v>3</v>
      </c>
      <c r="BG22" t="s">
        <v>3</v>
      </c>
      <c r="BJ22" t="s">
        <v>3</v>
      </c>
      <c r="BM22" t="s">
        <v>3</v>
      </c>
      <c r="BP22" t="s">
        <v>3</v>
      </c>
      <c r="BS22" t="s">
        <v>3</v>
      </c>
      <c r="BV22" t="s">
        <v>3</v>
      </c>
      <c r="BZ22" t="s">
        <v>82</v>
      </c>
      <c r="CE22" t="s">
        <v>3</v>
      </c>
      <c r="CN22" t="s">
        <v>3</v>
      </c>
      <c r="CQ22">
        <f t="shared" si="63"/>
        <v>0</v>
      </c>
      <c r="CR22" s="11">
        <f t="shared" si="65"/>
        <v>0</v>
      </c>
      <c r="CS22">
        <f t="shared" si="64"/>
        <v>20</v>
      </c>
      <c r="CT22" s="10">
        <f t="shared" si="66"/>
        <v>1</v>
      </c>
    </row>
    <row r="23" spans="1:98">
      <c r="A23" s="6" t="s">
        <v>134</v>
      </c>
      <c r="B23" s="6" t="s">
        <v>79</v>
      </c>
      <c r="C23" s="6" t="s">
        <v>88</v>
      </c>
      <c r="D23" t="s">
        <v>45</v>
      </c>
      <c r="E23" t="s">
        <v>3</v>
      </c>
      <c r="H23" s="1" t="s">
        <v>82</v>
      </c>
      <c r="I23" s="1"/>
      <c r="J23" s="1"/>
      <c r="K23" t="s">
        <v>3</v>
      </c>
      <c r="N23" t="s">
        <v>3</v>
      </c>
      <c r="Q23" t="s">
        <v>3</v>
      </c>
      <c r="T23" t="s">
        <v>3</v>
      </c>
      <c r="AF23" t="s">
        <v>3</v>
      </c>
      <c r="AI23" t="s">
        <v>3</v>
      </c>
      <c r="AL23" t="s">
        <v>3</v>
      </c>
      <c r="AO23" t="s">
        <v>3</v>
      </c>
      <c r="AR23" t="s">
        <v>3</v>
      </c>
      <c r="BA23" t="s">
        <v>3</v>
      </c>
      <c r="BD23" t="s">
        <v>3</v>
      </c>
      <c r="BG23" t="s">
        <v>3</v>
      </c>
      <c r="BJ23" t="s">
        <v>3</v>
      </c>
      <c r="BM23" t="s">
        <v>3</v>
      </c>
      <c r="BP23" t="s">
        <v>3</v>
      </c>
      <c r="BS23" t="s">
        <v>3</v>
      </c>
      <c r="BV23" t="s">
        <v>3</v>
      </c>
      <c r="BZ23" t="s">
        <v>82</v>
      </c>
      <c r="CE23" t="s">
        <v>3</v>
      </c>
      <c r="CN23" t="s">
        <v>3</v>
      </c>
      <c r="CQ23">
        <f t="shared" si="63"/>
        <v>0</v>
      </c>
      <c r="CR23" s="11">
        <f t="shared" si="65"/>
        <v>0</v>
      </c>
      <c r="CS23">
        <f t="shared" si="64"/>
        <v>20</v>
      </c>
      <c r="CT23" s="10">
        <f t="shared" si="66"/>
        <v>1</v>
      </c>
    </row>
    <row r="24" spans="1:98">
      <c r="A24" s="14" t="s">
        <v>144</v>
      </c>
      <c r="B24" s="14"/>
      <c r="C24" s="14"/>
      <c r="D24" s="14"/>
      <c r="E24" s="12"/>
      <c r="F24" s="12"/>
      <c r="G24" s="12"/>
      <c r="H24" s="1"/>
      <c r="I24" s="1"/>
      <c r="J24" s="1"/>
      <c r="K24" s="12"/>
      <c r="L24" s="12"/>
      <c r="M24" s="12"/>
      <c r="CR24" s="11"/>
      <c r="CT24" s="10"/>
    </row>
    <row r="25" spans="1:98">
      <c r="A25" s="6" t="s">
        <v>107</v>
      </c>
      <c r="B25" s="6" t="s">
        <v>32</v>
      </c>
      <c r="C25" s="6" t="s">
        <v>89</v>
      </c>
      <c r="D25" t="s">
        <v>33</v>
      </c>
      <c r="E25" t="s">
        <v>3</v>
      </c>
      <c r="H25" s="1" t="s">
        <v>82</v>
      </c>
      <c r="I25" s="1"/>
      <c r="J25" s="1"/>
      <c r="K25" t="s">
        <v>3</v>
      </c>
      <c r="N25" t="s">
        <v>3</v>
      </c>
      <c r="Q25" t="s">
        <v>3</v>
      </c>
      <c r="T25" t="s">
        <v>3</v>
      </c>
      <c r="AF25" t="s">
        <v>3</v>
      </c>
      <c r="AI25" t="s">
        <v>3</v>
      </c>
      <c r="AL25" t="s">
        <v>3</v>
      </c>
      <c r="AO25" t="s">
        <v>3</v>
      </c>
      <c r="AR25" t="s">
        <v>3</v>
      </c>
      <c r="BA25" t="s">
        <v>3</v>
      </c>
      <c r="BD25" t="s">
        <v>3</v>
      </c>
      <c r="BG25" t="s">
        <v>3</v>
      </c>
      <c r="BJ25" t="s">
        <v>3</v>
      </c>
      <c r="BM25" t="s">
        <v>3</v>
      </c>
      <c r="BP25" t="s">
        <v>3</v>
      </c>
      <c r="BS25" t="s">
        <v>3</v>
      </c>
      <c r="BV25" t="s">
        <v>3</v>
      </c>
      <c r="BZ25" t="s">
        <v>82</v>
      </c>
      <c r="CE25" t="s">
        <v>3</v>
      </c>
      <c r="CN25" t="s">
        <v>3</v>
      </c>
      <c r="CQ25">
        <f t="shared" si="63"/>
        <v>0</v>
      </c>
      <c r="CR25" s="11">
        <f t="shared" si="65"/>
        <v>0</v>
      </c>
      <c r="CS25">
        <f t="shared" si="64"/>
        <v>20</v>
      </c>
      <c r="CT25" s="10">
        <f t="shared" si="66"/>
        <v>1</v>
      </c>
    </row>
    <row r="26" spans="1:98">
      <c r="A26" s="6" t="s">
        <v>108</v>
      </c>
      <c r="B26" s="6" t="s">
        <v>38</v>
      </c>
      <c r="C26" s="6" t="s">
        <v>89</v>
      </c>
      <c r="D26" t="s">
        <v>33</v>
      </c>
      <c r="F26" t="s">
        <v>0</v>
      </c>
      <c r="H26" s="1" t="s">
        <v>82</v>
      </c>
      <c r="I26" s="1"/>
      <c r="J26" s="1"/>
      <c r="L26" t="s">
        <v>0</v>
      </c>
      <c r="N26" s="1"/>
      <c r="O26" s="1" t="s">
        <v>0</v>
      </c>
      <c r="P26" s="1"/>
      <c r="Q26" s="1"/>
      <c r="R26" s="1" t="s">
        <v>0</v>
      </c>
      <c r="S26" s="1"/>
      <c r="U26" t="s">
        <v>0</v>
      </c>
      <c r="AG26" t="s">
        <v>0</v>
      </c>
      <c r="AJ26" t="s">
        <v>0</v>
      </c>
      <c r="AM26" t="s">
        <v>0</v>
      </c>
      <c r="AP26" t="s">
        <v>0</v>
      </c>
      <c r="AS26" t="s">
        <v>0</v>
      </c>
      <c r="BB26" s="1" t="s">
        <v>0</v>
      </c>
      <c r="BC26" s="1"/>
      <c r="BD26" s="1"/>
      <c r="BE26" s="1" t="s">
        <v>0</v>
      </c>
      <c r="BF26" s="1"/>
      <c r="BG26" s="1"/>
      <c r="BH26" s="1" t="s">
        <v>0</v>
      </c>
      <c r="BI26" s="1"/>
      <c r="BJ26" s="1"/>
      <c r="BK26" s="1" t="s">
        <v>0</v>
      </c>
      <c r="BL26" s="1"/>
      <c r="BM26" s="1"/>
      <c r="BN26" s="1" t="s">
        <v>0</v>
      </c>
      <c r="BO26" s="1"/>
      <c r="BP26" s="1"/>
      <c r="BQ26" s="1" t="s">
        <v>0</v>
      </c>
      <c r="BR26" s="1"/>
      <c r="BS26" s="1"/>
      <c r="BT26" s="1" t="s">
        <v>0</v>
      </c>
      <c r="BU26" s="1"/>
      <c r="BV26" s="1"/>
      <c r="BW26" s="1" t="s">
        <v>0</v>
      </c>
      <c r="BX26" s="1"/>
      <c r="BZ26" t="s">
        <v>82</v>
      </c>
      <c r="CE26" s="2"/>
      <c r="CF26" s="2" t="s">
        <v>0</v>
      </c>
      <c r="CG26" s="2"/>
      <c r="CN26" s="2"/>
      <c r="CO26" s="2" t="s">
        <v>0</v>
      </c>
      <c r="CP26" s="2"/>
      <c r="CQ26">
        <f t="shared" si="63"/>
        <v>20</v>
      </c>
      <c r="CR26" s="11">
        <f t="shared" si="65"/>
        <v>1</v>
      </c>
      <c r="CS26">
        <f t="shared" si="64"/>
        <v>0</v>
      </c>
      <c r="CT26" s="10">
        <f t="shared" si="66"/>
        <v>0</v>
      </c>
    </row>
    <row r="27" spans="1:98">
      <c r="A27" s="6" t="s">
        <v>109</v>
      </c>
      <c r="B27" s="6" t="s">
        <v>59</v>
      </c>
      <c r="C27" s="6" t="s">
        <v>89</v>
      </c>
      <c r="D27" t="s">
        <v>33</v>
      </c>
      <c r="E27" t="s">
        <v>3</v>
      </c>
      <c r="H27" s="1" t="s">
        <v>82</v>
      </c>
      <c r="I27" s="1"/>
      <c r="J27" s="1"/>
      <c r="K27" t="s">
        <v>3</v>
      </c>
      <c r="N27" t="s">
        <v>3</v>
      </c>
      <c r="Q27" t="s">
        <v>3</v>
      </c>
      <c r="T27" t="s">
        <v>3</v>
      </c>
      <c r="AF27" t="s">
        <v>3</v>
      </c>
      <c r="AI27" t="s">
        <v>3</v>
      </c>
      <c r="AL27" t="s">
        <v>3</v>
      </c>
      <c r="AO27" t="s">
        <v>3</v>
      </c>
      <c r="AR27" t="s">
        <v>3</v>
      </c>
      <c r="BA27" t="s">
        <v>3</v>
      </c>
      <c r="BD27" t="s">
        <v>3</v>
      </c>
      <c r="BG27" t="s">
        <v>3</v>
      </c>
      <c r="BJ27" t="s">
        <v>3</v>
      </c>
      <c r="BM27" t="s">
        <v>3</v>
      </c>
      <c r="BP27" t="s">
        <v>3</v>
      </c>
      <c r="BS27" t="s">
        <v>3</v>
      </c>
      <c r="BV27" t="s">
        <v>3</v>
      </c>
      <c r="BZ27" t="s">
        <v>82</v>
      </c>
      <c r="CE27" t="s">
        <v>3</v>
      </c>
      <c r="CN27" t="s">
        <v>3</v>
      </c>
      <c r="CQ27">
        <f t="shared" si="63"/>
        <v>0</v>
      </c>
      <c r="CR27" s="11">
        <f t="shared" si="65"/>
        <v>0</v>
      </c>
      <c r="CS27">
        <f t="shared" si="64"/>
        <v>20</v>
      </c>
      <c r="CT27" s="10">
        <f t="shared" si="66"/>
        <v>1</v>
      </c>
    </row>
    <row r="28" spans="1:98">
      <c r="A28" s="6" t="s">
        <v>110</v>
      </c>
      <c r="B28" s="6" t="s">
        <v>69</v>
      </c>
      <c r="C28" s="6" t="s">
        <v>89</v>
      </c>
      <c r="D28" t="s">
        <v>33</v>
      </c>
      <c r="E28" t="s">
        <v>3</v>
      </c>
      <c r="H28" s="1" t="s">
        <v>82</v>
      </c>
      <c r="I28" s="1"/>
      <c r="J28" s="1"/>
      <c r="K28" t="s">
        <v>3</v>
      </c>
      <c r="N28" t="s">
        <v>3</v>
      </c>
      <c r="Q28" t="s">
        <v>3</v>
      </c>
      <c r="T28" t="s">
        <v>3</v>
      </c>
      <c r="AF28" t="s">
        <v>3</v>
      </c>
      <c r="AI28" t="s">
        <v>3</v>
      </c>
      <c r="AL28" t="s">
        <v>3</v>
      </c>
      <c r="AO28" t="s">
        <v>3</v>
      </c>
      <c r="AR28" t="s">
        <v>3</v>
      </c>
      <c r="BA28" t="s">
        <v>3</v>
      </c>
      <c r="BD28" t="s">
        <v>3</v>
      </c>
      <c r="BG28" t="s">
        <v>3</v>
      </c>
      <c r="BJ28" t="s">
        <v>3</v>
      </c>
      <c r="BM28" t="s">
        <v>3</v>
      </c>
      <c r="BP28" t="s">
        <v>3</v>
      </c>
      <c r="BS28" t="s">
        <v>3</v>
      </c>
      <c r="BV28" t="s">
        <v>3</v>
      </c>
      <c r="BZ28" t="s">
        <v>82</v>
      </c>
      <c r="CE28" t="s">
        <v>3</v>
      </c>
      <c r="CN28" t="s">
        <v>3</v>
      </c>
      <c r="CQ28">
        <f t="shared" si="63"/>
        <v>0</v>
      </c>
      <c r="CR28" s="11">
        <f t="shared" si="65"/>
        <v>0</v>
      </c>
      <c r="CS28">
        <f t="shared" si="64"/>
        <v>20</v>
      </c>
      <c r="CT28" s="10">
        <f t="shared" si="66"/>
        <v>1</v>
      </c>
    </row>
    <row r="29" spans="1:98">
      <c r="A29" s="6" t="s">
        <v>111</v>
      </c>
      <c r="B29" s="6" t="s">
        <v>72</v>
      </c>
      <c r="C29" s="6" t="s">
        <v>89</v>
      </c>
      <c r="D29" t="s">
        <v>33</v>
      </c>
      <c r="E29" s="1"/>
      <c r="F29" s="1" t="s">
        <v>0</v>
      </c>
      <c r="G29" s="1"/>
      <c r="H29" s="1"/>
      <c r="I29" s="1" t="s">
        <v>82</v>
      </c>
      <c r="J29" s="1"/>
      <c r="K29" s="5"/>
      <c r="L29" s="5" t="s">
        <v>0</v>
      </c>
      <c r="M29" s="5"/>
      <c r="N29" s="1"/>
      <c r="O29" s="1" t="s">
        <v>0</v>
      </c>
      <c r="P29" s="1"/>
      <c r="Q29" s="1"/>
      <c r="R29" s="1" t="s">
        <v>0</v>
      </c>
      <c r="S29" s="1"/>
      <c r="U29" t="s">
        <v>0</v>
      </c>
      <c r="AG29" t="s">
        <v>0</v>
      </c>
      <c r="AJ29" t="s">
        <v>0</v>
      </c>
      <c r="AM29" t="s">
        <v>0</v>
      </c>
      <c r="AP29" t="s">
        <v>0</v>
      </c>
      <c r="AS29" t="s">
        <v>0</v>
      </c>
      <c r="BB29" s="1" t="s">
        <v>0</v>
      </c>
      <c r="BC29" s="1"/>
      <c r="BD29" s="1"/>
      <c r="BE29" s="1" t="s">
        <v>0</v>
      </c>
      <c r="BF29" s="1"/>
      <c r="BG29" s="1"/>
      <c r="BH29" s="1" t="s">
        <v>0</v>
      </c>
      <c r="BI29" s="1"/>
      <c r="BJ29" s="1"/>
      <c r="BK29" s="1" t="s">
        <v>0</v>
      </c>
      <c r="BL29" s="1"/>
      <c r="BM29" s="1"/>
      <c r="BN29" s="1" t="s">
        <v>0</v>
      </c>
      <c r="BO29" s="1"/>
      <c r="BP29" s="1"/>
      <c r="BQ29" s="1" t="s">
        <v>0</v>
      </c>
      <c r="BR29" s="1"/>
      <c r="BS29" s="1"/>
      <c r="BT29" s="1" t="s">
        <v>0</v>
      </c>
      <c r="BU29" s="1"/>
      <c r="BV29" s="1"/>
      <c r="BW29" s="1" t="s">
        <v>0</v>
      </c>
      <c r="BX29" s="1"/>
      <c r="BZ29" t="s">
        <v>82</v>
      </c>
      <c r="CE29" s="2"/>
      <c r="CF29" s="2" t="s">
        <v>0</v>
      </c>
      <c r="CG29" s="2"/>
      <c r="CN29" s="2"/>
      <c r="CO29" s="2" t="s">
        <v>0</v>
      </c>
      <c r="CP29" s="2"/>
      <c r="CQ29">
        <f t="shared" si="63"/>
        <v>20</v>
      </c>
      <c r="CR29" s="11">
        <f t="shared" si="65"/>
        <v>1</v>
      </c>
      <c r="CS29">
        <f t="shared" si="64"/>
        <v>0</v>
      </c>
      <c r="CT29" s="10">
        <f t="shared" si="66"/>
        <v>0</v>
      </c>
    </row>
    <row r="30" spans="1:98">
      <c r="A30" s="6" t="s">
        <v>112</v>
      </c>
      <c r="B30" s="6" t="s">
        <v>6</v>
      </c>
      <c r="C30" s="6" t="s">
        <v>89</v>
      </c>
      <c r="D30" t="s">
        <v>29</v>
      </c>
      <c r="E30" s="1"/>
      <c r="F30" s="1" t="s">
        <v>0</v>
      </c>
      <c r="G30" s="1"/>
      <c r="H30" s="1"/>
      <c r="I30" s="1" t="s">
        <v>82</v>
      </c>
      <c r="J30" s="1"/>
      <c r="K30" s="1"/>
      <c r="L30" s="1" t="s">
        <v>0</v>
      </c>
      <c r="M30" s="1"/>
      <c r="N30" s="1"/>
      <c r="O30" s="1" t="s">
        <v>0</v>
      </c>
      <c r="P30" s="1"/>
      <c r="Q30" s="1"/>
      <c r="R30" s="1" t="s">
        <v>0</v>
      </c>
      <c r="S30" s="1"/>
      <c r="U30" t="s">
        <v>0</v>
      </c>
      <c r="AG30" t="s">
        <v>0</v>
      </c>
      <c r="AJ30" t="s">
        <v>0</v>
      </c>
      <c r="AM30" t="s">
        <v>0</v>
      </c>
      <c r="AP30" t="s">
        <v>0</v>
      </c>
      <c r="AS30" t="s">
        <v>0</v>
      </c>
      <c r="BB30" s="1" t="s">
        <v>0</v>
      </c>
      <c r="BC30" s="1"/>
      <c r="BD30" s="1"/>
      <c r="BE30" s="1" t="s">
        <v>0</v>
      </c>
      <c r="BF30" s="1"/>
      <c r="BG30" s="1"/>
      <c r="BH30" s="1" t="s">
        <v>0</v>
      </c>
      <c r="BI30" s="1"/>
      <c r="BJ30" s="1"/>
      <c r="BK30" s="1" t="s">
        <v>0</v>
      </c>
      <c r="BL30" s="1"/>
      <c r="BM30" s="1"/>
      <c r="BN30" s="1" t="s">
        <v>0</v>
      </c>
      <c r="BO30" s="1"/>
      <c r="BP30" s="1"/>
      <c r="BQ30" s="1" t="s">
        <v>0</v>
      </c>
      <c r="BR30" s="1"/>
      <c r="BS30" s="1"/>
      <c r="BT30" s="1" t="s">
        <v>0</v>
      </c>
      <c r="BU30" s="1"/>
      <c r="BV30" s="1"/>
      <c r="BW30" s="1" t="s">
        <v>0</v>
      </c>
      <c r="BX30" s="1"/>
      <c r="BZ30" t="s">
        <v>82</v>
      </c>
      <c r="CE30" s="2"/>
      <c r="CF30" s="2" t="s">
        <v>0</v>
      </c>
      <c r="CG30" s="2"/>
      <c r="CN30" s="2"/>
      <c r="CO30" s="2" t="s">
        <v>0</v>
      </c>
      <c r="CP30" s="2"/>
      <c r="CQ30">
        <f t="shared" si="63"/>
        <v>20</v>
      </c>
      <c r="CR30" s="11">
        <f t="shared" si="65"/>
        <v>1</v>
      </c>
      <c r="CS30">
        <f t="shared" si="64"/>
        <v>0</v>
      </c>
      <c r="CT30" s="10">
        <f t="shared" si="66"/>
        <v>0</v>
      </c>
    </row>
    <row r="31" spans="1:98">
      <c r="A31" s="6" t="s">
        <v>113</v>
      </c>
      <c r="B31" s="6" t="s">
        <v>1</v>
      </c>
      <c r="C31" s="6" t="s">
        <v>89</v>
      </c>
      <c r="D31" t="s">
        <v>2</v>
      </c>
      <c r="F31" t="s">
        <v>0</v>
      </c>
      <c r="H31" s="1" t="s">
        <v>82</v>
      </c>
      <c r="I31" s="1"/>
      <c r="J31" s="1"/>
      <c r="L31" t="s">
        <v>0</v>
      </c>
      <c r="N31" t="s">
        <v>3</v>
      </c>
      <c r="Q31" t="s">
        <v>3</v>
      </c>
      <c r="T31" t="s">
        <v>3</v>
      </c>
      <c r="AG31" t="s">
        <v>0</v>
      </c>
      <c r="AI31" t="s">
        <v>3</v>
      </c>
      <c r="AM31" t="s">
        <v>0</v>
      </c>
      <c r="AO31" t="s">
        <v>3</v>
      </c>
      <c r="AS31" t="s">
        <v>0</v>
      </c>
      <c r="BA31" t="s">
        <v>3</v>
      </c>
      <c r="BD31" t="s">
        <v>3</v>
      </c>
      <c r="BG31" t="s">
        <v>3</v>
      </c>
      <c r="BJ31" t="s">
        <v>3</v>
      </c>
      <c r="BN31" s="1" t="s">
        <v>0</v>
      </c>
      <c r="BO31" s="1"/>
      <c r="BP31" s="1"/>
      <c r="BQ31" s="1" t="s">
        <v>0</v>
      </c>
      <c r="BR31" s="1"/>
      <c r="BS31" t="s">
        <v>3</v>
      </c>
      <c r="BV31" t="s">
        <v>3</v>
      </c>
      <c r="BZ31" t="s">
        <v>82</v>
      </c>
      <c r="CE31" t="s">
        <v>3</v>
      </c>
      <c r="CN31" t="s">
        <v>3</v>
      </c>
      <c r="CQ31">
        <f t="shared" si="63"/>
        <v>7</v>
      </c>
      <c r="CR31" s="11">
        <f t="shared" si="65"/>
        <v>0.35</v>
      </c>
      <c r="CS31">
        <f t="shared" si="64"/>
        <v>13</v>
      </c>
      <c r="CT31" s="10">
        <f t="shared" si="66"/>
        <v>0.65</v>
      </c>
    </row>
    <row r="32" spans="1:98">
      <c r="A32" s="6" t="s">
        <v>114</v>
      </c>
      <c r="B32" s="6" t="s">
        <v>49</v>
      </c>
      <c r="C32" s="6" t="s">
        <v>89</v>
      </c>
      <c r="D32" t="s">
        <v>2</v>
      </c>
      <c r="E32" t="s">
        <v>3</v>
      </c>
      <c r="H32" s="1" t="s">
        <v>82</v>
      </c>
      <c r="I32" s="1"/>
      <c r="J32" s="1"/>
      <c r="K32" t="s">
        <v>3</v>
      </c>
      <c r="N32" t="s">
        <v>3</v>
      </c>
      <c r="Q32" t="s">
        <v>3</v>
      </c>
      <c r="T32" t="s">
        <v>3</v>
      </c>
      <c r="AF32" t="s">
        <v>3</v>
      </c>
      <c r="AI32" t="s">
        <v>3</v>
      </c>
      <c r="AL32" t="s">
        <v>3</v>
      </c>
      <c r="AO32" t="s">
        <v>3</v>
      </c>
      <c r="AR32" t="s">
        <v>3</v>
      </c>
      <c r="BA32" t="s">
        <v>3</v>
      </c>
      <c r="BD32" t="s">
        <v>3</v>
      </c>
      <c r="BG32" t="s">
        <v>3</v>
      </c>
      <c r="BJ32" t="s">
        <v>3</v>
      </c>
      <c r="BM32" t="s">
        <v>3</v>
      </c>
      <c r="BP32" t="s">
        <v>3</v>
      </c>
      <c r="BS32" t="s">
        <v>3</v>
      </c>
      <c r="BV32" t="s">
        <v>3</v>
      </c>
      <c r="BZ32" t="s">
        <v>82</v>
      </c>
      <c r="CE32" t="s">
        <v>3</v>
      </c>
      <c r="CN32" t="s">
        <v>3</v>
      </c>
      <c r="CQ32">
        <f t="shared" si="63"/>
        <v>0</v>
      </c>
      <c r="CR32" s="11">
        <f t="shared" si="65"/>
        <v>0</v>
      </c>
      <c r="CS32">
        <f t="shared" si="64"/>
        <v>20</v>
      </c>
      <c r="CT32" s="10">
        <f t="shared" si="66"/>
        <v>1</v>
      </c>
    </row>
    <row r="33" spans="1:98">
      <c r="A33" s="13" t="s">
        <v>145</v>
      </c>
      <c r="B33" s="13"/>
      <c r="C33" s="13"/>
      <c r="D33" s="12"/>
      <c r="E33" s="12"/>
      <c r="F33" s="12"/>
      <c r="G33" s="12"/>
      <c r="H33" s="1"/>
      <c r="I33" s="1"/>
      <c r="J33" s="1"/>
      <c r="K33" s="12"/>
      <c r="L33" s="12"/>
      <c r="M33" s="12"/>
      <c r="CR33" s="11"/>
      <c r="CT33" s="10"/>
    </row>
    <row r="34" spans="1:98">
      <c r="A34" s="6" t="s">
        <v>115</v>
      </c>
      <c r="B34" s="6" t="s">
        <v>15</v>
      </c>
      <c r="C34" s="6" t="s">
        <v>87</v>
      </c>
      <c r="D34" t="s">
        <v>16</v>
      </c>
      <c r="E34" t="s">
        <v>3</v>
      </c>
      <c r="H34" s="1" t="s">
        <v>82</v>
      </c>
      <c r="I34" s="1"/>
      <c r="J34" s="1"/>
      <c r="K34" t="s">
        <v>3</v>
      </c>
      <c r="N34" t="s">
        <v>3</v>
      </c>
      <c r="Q34" t="s">
        <v>3</v>
      </c>
      <c r="T34" t="s">
        <v>3</v>
      </c>
      <c r="AF34" t="s">
        <v>3</v>
      </c>
      <c r="AI34" t="s">
        <v>3</v>
      </c>
      <c r="AL34" t="s">
        <v>3</v>
      </c>
      <c r="AO34" t="s">
        <v>3</v>
      </c>
      <c r="AR34" t="s">
        <v>3</v>
      </c>
      <c r="BA34" t="s">
        <v>3</v>
      </c>
      <c r="BD34" t="s">
        <v>3</v>
      </c>
      <c r="BG34" t="s">
        <v>3</v>
      </c>
      <c r="BJ34" t="s">
        <v>3</v>
      </c>
      <c r="BM34" t="s">
        <v>3</v>
      </c>
      <c r="BP34" t="s">
        <v>3</v>
      </c>
      <c r="BS34" t="s">
        <v>3</v>
      </c>
      <c r="BV34" t="s">
        <v>3</v>
      </c>
      <c r="BZ34" t="s">
        <v>82</v>
      </c>
      <c r="CE34" t="s">
        <v>3</v>
      </c>
      <c r="CN34" t="s">
        <v>3</v>
      </c>
      <c r="CQ34">
        <f t="shared" si="63"/>
        <v>0</v>
      </c>
      <c r="CR34" s="11">
        <f t="shared" si="65"/>
        <v>0</v>
      </c>
      <c r="CS34">
        <f t="shared" si="64"/>
        <v>20</v>
      </c>
      <c r="CT34" s="10">
        <f t="shared" si="66"/>
        <v>1</v>
      </c>
    </row>
    <row r="35" spans="1:98">
      <c r="A35" s="6" t="s">
        <v>116</v>
      </c>
      <c r="B35" s="6" t="s">
        <v>80</v>
      </c>
      <c r="C35" s="6" t="s">
        <v>87</v>
      </c>
      <c r="D35" t="s">
        <v>16</v>
      </c>
      <c r="E35" t="s">
        <v>3</v>
      </c>
      <c r="H35" s="1" t="s">
        <v>82</v>
      </c>
      <c r="I35" s="1"/>
      <c r="J35" s="1"/>
      <c r="K35" t="s">
        <v>3</v>
      </c>
      <c r="N35" t="s">
        <v>3</v>
      </c>
      <c r="Q35" t="s">
        <v>3</v>
      </c>
      <c r="T35" t="s">
        <v>3</v>
      </c>
      <c r="AF35" t="s">
        <v>3</v>
      </c>
      <c r="AI35" t="s">
        <v>3</v>
      </c>
      <c r="AL35" t="s">
        <v>3</v>
      </c>
      <c r="AO35" t="s">
        <v>3</v>
      </c>
      <c r="AR35" t="s">
        <v>3</v>
      </c>
      <c r="BA35" t="s">
        <v>3</v>
      </c>
      <c r="BD35" t="s">
        <v>3</v>
      </c>
      <c r="BG35" t="s">
        <v>3</v>
      </c>
      <c r="BJ35" t="s">
        <v>3</v>
      </c>
      <c r="BM35" t="s">
        <v>3</v>
      </c>
      <c r="BP35" t="s">
        <v>3</v>
      </c>
      <c r="BS35" t="s">
        <v>3</v>
      </c>
      <c r="BV35" t="s">
        <v>3</v>
      </c>
      <c r="BZ35" t="s">
        <v>82</v>
      </c>
      <c r="CE35" t="s">
        <v>3</v>
      </c>
      <c r="CN35" t="s">
        <v>3</v>
      </c>
      <c r="CQ35">
        <f t="shared" si="63"/>
        <v>0</v>
      </c>
      <c r="CR35" s="11">
        <f t="shared" si="65"/>
        <v>0</v>
      </c>
      <c r="CS35">
        <f t="shared" si="64"/>
        <v>20</v>
      </c>
      <c r="CT35" s="10">
        <f t="shared" si="66"/>
        <v>1</v>
      </c>
    </row>
    <row r="36" spans="1:98">
      <c r="A36" s="6" t="s">
        <v>117</v>
      </c>
      <c r="B36" s="6" t="s">
        <v>25</v>
      </c>
      <c r="C36" s="6" t="s">
        <v>87</v>
      </c>
      <c r="D36" t="s">
        <v>16</v>
      </c>
      <c r="E36" t="s">
        <v>3</v>
      </c>
      <c r="H36" s="1" t="s">
        <v>82</v>
      </c>
      <c r="I36" s="1"/>
      <c r="J36" s="1"/>
      <c r="K36" t="s">
        <v>3</v>
      </c>
      <c r="N36" t="s">
        <v>3</v>
      </c>
      <c r="Q36" t="s">
        <v>3</v>
      </c>
      <c r="T36" t="s">
        <v>3</v>
      </c>
      <c r="AF36" t="s">
        <v>3</v>
      </c>
      <c r="AI36" t="s">
        <v>3</v>
      </c>
      <c r="AM36" t="s">
        <v>0</v>
      </c>
      <c r="AO36" t="s">
        <v>3</v>
      </c>
      <c r="AR36" t="s">
        <v>3</v>
      </c>
      <c r="BA36" t="s">
        <v>3</v>
      </c>
      <c r="BD36" t="s">
        <v>3</v>
      </c>
      <c r="BG36" t="s">
        <v>3</v>
      </c>
      <c r="BJ36" t="s">
        <v>3</v>
      </c>
      <c r="BM36" t="s">
        <v>3</v>
      </c>
      <c r="BP36" t="s">
        <v>3</v>
      </c>
      <c r="BS36" t="s">
        <v>3</v>
      </c>
      <c r="BV36" t="s">
        <v>3</v>
      </c>
      <c r="BZ36" t="s">
        <v>82</v>
      </c>
      <c r="CE36" t="s">
        <v>3</v>
      </c>
      <c r="CN36" t="s">
        <v>3</v>
      </c>
      <c r="CQ36">
        <f t="shared" si="63"/>
        <v>1</v>
      </c>
      <c r="CR36" s="11">
        <f t="shared" si="65"/>
        <v>0.05</v>
      </c>
      <c r="CS36">
        <f t="shared" si="64"/>
        <v>19</v>
      </c>
      <c r="CT36" s="10">
        <f t="shared" si="66"/>
        <v>0.95</v>
      </c>
    </row>
    <row r="37" spans="1:98">
      <c r="A37" s="6" t="s">
        <v>118</v>
      </c>
      <c r="B37" s="6" t="s">
        <v>61</v>
      </c>
      <c r="C37" s="6" t="s">
        <v>87</v>
      </c>
      <c r="D37" t="s">
        <v>16</v>
      </c>
      <c r="E37" t="s">
        <v>3</v>
      </c>
      <c r="H37" s="1" t="s">
        <v>82</v>
      </c>
      <c r="I37" s="1"/>
      <c r="J37" s="1"/>
      <c r="K37" t="s">
        <v>3</v>
      </c>
      <c r="N37" t="s">
        <v>3</v>
      </c>
      <c r="Q37" t="s">
        <v>3</v>
      </c>
      <c r="U37" t="s">
        <v>0</v>
      </c>
      <c r="AF37" t="s">
        <v>3</v>
      </c>
      <c r="AI37" t="s">
        <v>3</v>
      </c>
      <c r="AM37" t="s">
        <v>0</v>
      </c>
      <c r="AO37" t="s">
        <v>3</v>
      </c>
      <c r="AR37" t="s">
        <v>3</v>
      </c>
      <c r="BA37" t="s">
        <v>3</v>
      </c>
      <c r="BD37" t="s">
        <v>3</v>
      </c>
      <c r="BG37" t="s">
        <v>3</v>
      </c>
      <c r="BJ37" t="s">
        <v>3</v>
      </c>
      <c r="BM37" t="s">
        <v>3</v>
      </c>
      <c r="BP37" t="s">
        <v>3</v>
      </c>
      <c r="BS37" t="s">
        <v>3</v>
      </c>
      <c r="BV37" t="s">
        <v>3</v>
      </c>
      <c r="BZ37" t="s">
        <v>82</v>
      </c>
      <c r="CE37" t="s">
        <v>3</v>
      </c>
      <c r="CN37" t="s">
        <v>3</v>
      </c>
      <c r="CQ37">
        <f t="shared" si="63"/>
        <v>2</v>
      </c>
      <c r="CR37" s="11">
        <f t="shared" si="65"/>
        <v>0.1</v>
      </c>
      <c r="CS37">
        <f t="shared" si="64"/>
        <v>18</v>
      </c>
      <c r="CT37" s="10">
        <f t="shared" si="66"/>
        <v>0.9</v>
      </c>
    </row>
    <row r="38" spans="1:98">
      <c r="A38" s="6" t="s">
        <v>119</v>
      </c>
      <c r="B38" s="6" t="s">
        <v>70</v>
      </c>
      <c r="C38" s="6" t="s">
        <v>87</v>
      </c>
      <c r="D38" t="s">
        <v>71</v>
      </c>
      <c r="E38" t="s">
        <v>3</v>
      </c>
      <c r="H38" s="1" t="s">
        <v>82</v>
      </c>
      <c r="I38" s="1"/>
      <c r="J38" s="1"/>
      <c r="K38" t="s">
        <v>3</v>
      </c>
      <c r="N38" t="s">
        <v>3</v>
      </c>
      <c r="Q38" t="s">
        <v>3</v>
      </c>
      <c r="T38" t="s">
        <v>3</v>
      </c>
      <c r="AF38" t="s">
        <v>3</v>
      </c>
      <c r="AI38" t="s">
        <v>3</v>
      </c>
      <c r="AL38" t="s">
        <v>3</v>
      </c>
      <c r="AO38" t="s">
        <v>3</v>
      </c>
      <c r="AR38" t="s">
        <v>3</v>
      </c>
      <c r="BA38" t="s">
        <v>3</v>
      </c>
      <c r="BD38" t="s">
        <v>3</v>
      </c>
      <c r="BG38" t="s">
        <v>3</v>
      </c>
      <c r="BJ38" t="s">
        <v>3</v>
      </c>
      <c r="BM38" t="s">
        <v>3</v>
      </c>
      <c r="BP38" t="s">
        <v>3</v>
      </c>
      <c r="BS38" t="s">
        <v>3</v>
      </c>
      <c r="BV38" t="s">
        <v>3</v>
      </c>
      <c r="BZ38" t="s">
        <v>82</v>
      </c>
      <c r="CE38" t="s">
        <v>3</v>
      </c>
      <c r="CN38" t="s">
        <v>3</v>
      </c>
      <c r="CQ38">
        <f t="shared" si="63"/>
        <v>0</v>
      </c>
      <c r="CR38" s="11">
        <f t="shared" si="65"/>
        <v>0</v>
      </c>
      <c r="CS38">
        <f t="shared" si="64"/>
        <v>20</v>
      </c>
      <c r="CT38" s="10">
        <f t="shared" si="66"/>
        <v>1</v>
      </c>
    </row>
    <row r="39" spans="1:98">
      <c r="A39" s="6" t="s">
        <v>120</v>
      </c>
      <c r="B39" s="6" t="s">
        <v>21</v>
      </c>
      <c r="C39" s="6" t="s">
        <v>87</v>
      </c>
      <c r="D39" t="s">
        <v>22</v>
      </c>
      <c r="E39" t="s">
        <v>3</v>
      </c>
      <c r="H39" s="1" t="s">
        <v>82</v>
      </c>
      <c r="I39" s="1"/>
      <c r="J39" s="1"/>
      <c r="K39" t="s">
        <v>3</v>
      </c>
      <c r="N39" t="s">
        <v>3</v>
      </c>
      <c r="Q39" t="s">
        <v>3</v>
      </c>
      <c r="T39" t="s">
        <v>3</v>
      </c>
      <c r="AF39" t="s">
        <v>3</v>
      </c>
      <c r="AI39" t="s">
        <v>3</v>
      </c>
      <c r="AL39" t="s">
        <v>3</v>
      </c>
      <c r="AO39" t="s">
        <v>3</v>
      </c>
      <c r="AR39" t="s">
        <v>3</v>
      </c>
      <c r="BA39" t="s">
        <v>3</v>
      </c>
      <c r="BD39" t="s">
        <v>3</v>
      </c>
      <c r="BG39" t="s">
        <v>3</v>
      </c>
      <c r="BJ39" t="s">
        <v>3</v>
      </c>
      <c r="BM39" t="s">
        <v>3</v>
      </c>
      <c r="BP39" t="s">
        <v>3</v>
      </c>
      <c r="BS39" t="s">
        <v>3</v>
      </c>
      <c r="BV39" t="s">
        <v>3</v>
      </c>
      <c r="BZ39" t="s">
        <v>82</v>
      </c>
      <c r="CE39" t="s">
        <v>3</v>
      </c>
      <c r="CN39" t="s">
        <v>3</v>
      </c>
      <c r="CQ39">
        <f t="shared" si="63"/>
        <v>0</v>
      </c>
      <c r="CR39" s="11">
        <f t="shared" si="65"/>
        <v>0</v>
      </c>
      <c r="CS39">
        <f t="shared" si="64"/>
        <v>20</v>
      </c>
      <c r="CT39" s="10">
        <f t="shared" si="66"/>
        <v>1</v>
      </c>
    </row>
    <row r="40" spans="1:98">
      <c r="A40" s="6" t="s">
        <v>121</v>
      </c>
      <c r="B40" s="7" t="s">
        <v>83</v>
      </c>
      <c r="C40" s="7" t="s">
        <v>87</v>
      </c>
      <c r="D40" s="1" t="s">
        <v>22</v>
      </c>
      <c r="E40" s="1"/>
      <c r="F40" s="1" t="s">
        <v>0</v>
      </c>
      <c r="G40" s="1"/>
      <c r="H40" s="1"/>
      <c r="I40" s="1" t="s">
        <v>82</v>
      </c>
      <c r="J40" s="1"/>
      <c r="K40" s="1"/>
      <c r="L40" s="1" t="s">
        <v>0</v>
      </c>
      <c r="M40" s="1"/>
      <c r="N40" s="1"/>
      <c r="O40" s="1" t="s">
        <v>0</v>
      </c>
      <c r="P40" s="1"/>
      <c r="Q40" s="1"/>
      <c r="R40" s="1" t="s">
        <v>0</v>
      </c>
      <c r="S40" s="1"/>
      <c r="U40" t="s">
        <v>0</v>
      </c>
      <c r="AG40" t="s">
        <v>0</v>
      </c>
      <c r="AJ40" t="s">
        <v>0</v>
      </c>
      <c r="AM40" t="s">
        <v>0</v>
      </c>
      <c r="AP40" t="s">
        <v>0</v>
      </c>
      <c r="AS40" t="s">
        <v>0</v>
      </c>
      <c r="BB40" t="s">
        <v>0</v>
      </c>
      <c r="BD40" s="1"/>
      <c r="BE40" s="1" t="s">
        <v>0</v>
      </c>
      <c r="BF40" s="1"/>
      <c r="BG40" s="1"/>
      <c r="BH40" s="1" t="s">
        <v>0</v>
      </c>
      <c r="BI40" s="1"/>
      <c r="BJ40" s="1"/>
      <c r="BK40" s="1" t="s">
        <v>0</v>
      </c>
      <c r="BL40" s="1"/>
      <c r="BM40" s="1"/>
      <c r="BN40" s="1" t="s">
        <v>0</v>
      </c>
      <c r="BO40" s="1"/>
      <c r="BP40" s="1"/>
      <c r="BQ40" s="1" t="s">
        <v>0</v>
      </c>
      <c r="BR40" s="1"/>
      <c r="BS40" s="1"/>
      <c r="BT40" s="1" t="s">
        <v>0</v>
      </c>
      <c r="BU40" s="1"/>
      <c r="BV40" s="1"/>
      <c r="BW40" s="1" t="s">
        <v>0</v>
      </c>
      <c r="BX40" s="1"/>
      <c r="BY40" s="1"/>
      <c r="BZ40" t="s">
        <v>82</v>
      </c>
      <c r="CE40" s="2"/>
      <c r="CF40" s="2" t="s">
        <v>0</v>
      </c>
      <c r="CG40" s="2"/>
      <c r="CN40" s="2"/>
      <c r="CO40" s="2" t="s">
        <v>0</v>
      </c>
      <c r="CP40" s="2"/>
      <c r="CQ40">
        <f t="shared" si="63"/>
        <v>20</v>
      </c>
      <c r="CR40" s="11">
        <f t="shared" si="65"/>
        <v>1</v>
      </c>
      <c r="CS40">
        <f t="shared" si="64"/>
        <v>0</v>
      </c>
      <c r="CT40" s="10">
        <f t="shared" si="66"/>
        <v>0</v>
      </c>
    </row>
    <row r="41" spans="1:98">
      <c r="A41" s="6" t="s">
        <v>122</v>
      </c>
      <c r="B41" s="6" t="s">
        <v>56</v>
      </c>
      <c r="C41" s="6" t="s">
        <v>87</v>
      </c>
      <c r="D41" t="s">
        <v>22</v>
      </c>
      <c r="F41" t="s">
        <v>0</v>
      </c>
      <c r="H41" s="1"/>
      <c r="I41" s="1" t="s">
        <v>82</v>
      </c>
      <c r="J41" s="1"/>
      <c r="K41" s="1"/>
      <c r="L41" s="1" t="s">
        <v>0</v>
      </c>
      <c r="M41" s="1"/>
      <c r="N41" s="1"/>
      <c r="O41" s="1" t="s">
        <v>0</v>
      </c>
      <c r="P41" s="1"/>
      <c r="Q41" s="1"/>
      <c r="R41" s="1" t="s">
        <v>0</v>
      </c>
      <c r="S41" s="1"/>
      <c r="U41" t="s">
        <v>0</v>
      </c>
      <c r="AG41" t="s">
        <v>0</v>
      </c>
      <c r="AJ41" t="s">
        <v>0</v>
      </c>
      <c r="AM41" t="s">
        <v>0</v>
      </c>
      <c r="AP41" t="s">
        <v>0</v>
      </c>
      <c r="AS41" t="s">
        <v>0</v>
      </c>
      <c r="BB41" t="s">
        <v>0</v>
      </c>
      <c r="BD41" s="1"/>
      <c r="BE41" s="1" t="s">
        <v>0</v>
      </c>
      <c r="BF41" s="1"/>
      <c r="BG41" s="1"/>
      <c r="BH41" s="1" t="s">
        <v>0</v>
      </c>
      <c r="BI41" s="1"/>
      <c r="BJ41" s="1"/>
      <c r="BK41" s="1" t="s">
        <v>0</v>
      </c>
      <c r="BL41" s="1"/>
      <c r="BM41" s="1"/>
      <c r="BN41" s="1" t="s">
        <v>0</v>
      </c>
      <c r="BO41" s="1"/>
      <c r="BP41" s="1"/>
      <c r="BQ41" s="1" t="s">
        <v>0</v>
      </c>
      <c r="BR41" s="1"/>
      <c r="BS41" s="1"/>
      <c r="BT41" s="1" t="s">
        <v>0</v>
      </c>
      <c r="BU41" s="1"/>
      <c r="BV41" s="1"/>
      <c r="BW41" s="1" t="s">
        <v>0</v>
      </c>
      <c r="BX41" s="1"/>
      <c r="BY41" s="1"/>
      <c r="BZ41" t="s">
        <v>82</v>
      </c>
      <c r="CE41" s="2"/>
      <c r="CF41" s="2" t="s">
        <v>0</v>
      </c>
      <c r="CG41" s="2"/>
      <c r="CN41" s="2"/>
      <c r="CO41" s="2" t="s">
        <v>0</v>
      </c>
      <c r="CP41" s="2"/>
      <c r="CQ41">
        <f t="shared" si="63"/>
        <v>20</v>
      </c>
      <c r="CR41" s="11">
        <f t="shared" si="65"/>
        <v>1</v>
      </c>
      <c r="CS41">
        <f t="shared" si="64"/>
        <v>0</v>
      </c>
      <c r="CT41" s="10">
        <f t="shared" si="66"/>
        <v>0</v>
      </c>
    </row>
    <row r="42" spans="1:98">
      <c r="A42" s="6" t="s">
        <v>123</v>
      </c>
      <c r="B42" s="6" t="s">
        <v>66</v>
      </c>
      <c r="C42" s="6" t="s">
        <v>87</v>
      </c>
      <c r="D42" t="s">
        <v>67</v>
      </c>
      <c r="E42" t="s">
        <v>3</v>
      </c>
      <c r="H42" s="1" t="s">
        <v>82</v>
      </c>
      <c r="I42" s="1"/>
      <c r="J42" s="1"/>
      <c r="K42" t="s">
        <v>3</v>
      </c>
      <c r="N42" t="s">
        <v>3</v>
      </c>
      <c r="Q42" t="s">
        <v>3</v>
      </c>
      <c r="T42" t="s">
        <v>3</v>
      </c>
      <c r="AF42" t="s">
        <v>3</v>
      </c>
      <c r="AI42" t="s">
        <v>3</v>
      </c>
      <c r="AL42" t="s">
        <v>3</v>
      </c>
      <c r="AO42" t="s">
        <v>3</v>
      </c>
      <c r="AR42" t="s">
        <v>3</v>
      </c>
      <c r="BA42" t="s">
        <v>3</v>
      </c>
      <c r="BD42" t="s">
        <v>3</v>
      </c>
      <c r="BG42" t="s">
        <v>3</v>
      </c>
      <c r="BJ42" t="s">
        <v>3</v>
      </c>
      <c r="BM42" t="s">
        <v>3</v>
      </c>
      <c r="BP42" t="s">
        <v>3</v>
      </c>
      <c r="BS42" t="s">
        <v>3</v>
      </c>
      <c r="BV42" t="s">
        <v>3</v>
      </c>
      <c r="BZ42" t="s">
        <v>82</v>
      </c>
      <c r="CE42" t="s">
        <v>3</v>
      </c>
      <c r="CN42" t="s">
        <v>3</v>
      </c>
      <c r="CQ42">
        <f t="shared" si="63"/>
        <v>0</v>
      </c>
      <c r="CR42" s="11">
        <f t="shared" si="65"/>
        <v>0</v>
      </c>
      <c r="CS42">
        <f t="shared" si="64"/>
        <v>20</v>
      </c>
      <c r="CT42" s="10">
        <f t="shared" si="66"/>
        <v>1</v>
      </c>
    </row>
    <row r="43" spans="1:98">
      <c r="A43" s="39" t="s">
        <v>87</v>
      </c>
      <c r="B43" s="39"/>
      <c r="C43" s="39"/>
      <c r="D43" s="12"/>
      <c r="E43" s="12"/>
      <c r="F43" s="12" t="s">
        <v>0</v>
      </c>
      <c r="G43" s="12"/>
      <c r="H43" s="1"/>
      <c r="I43" s="1"/>
      <c r="J43" s="1"/>
      <c r="K43" s="12"/>
      <c r="L43" s="12"/>
      <c r="M43" s="12"/>
      <c r="N43" s="1"/>
      <c r="O43" s="1"/>
      <c r="P43" s="1"/>
      <c r="CR43" s="11"/>
      <c r="CT43" s="10"/>
    </row>
    <row r="44" spans="1:98">
      <c r="A44" s="6" t="s">
        <v>124</v>
      </c>
      <c r="B44" s="6" t="s">
        <v>51</v>
      </c>
      <c r="C44" s="6" t="s">
        <v>85</v>
      </c>
      <c r="D44" t="s">
        <v>52</v>
      </c>
      <c r="E44" t="s">
        <v>3</v>
      </c>
      <c r="H44" s="1" t="s">
        <v>82</v>
      </c>
      <c r="I44" s="1"/>
      <c r="J44" s="1"/>
      <c r="K44" t="s">
        <v>3</v>
      </c>
      <c r="N44" t="s">
        <v>3</v>
      </c>
      <c r="Q44" t="s">
        <v>3</v>
      </c>
      <c r="T44" t="s">
        <v>3</v>
      </c>
      <c r="AF44" t="s">
        <v>3</v>
      </c>
      <c r="AI44" t="s">
        <v>3</v>
      </c>
      <c r="AL44" t="s">
        <v>3</v>
      </c>
      <c r="AO44" t="s">
        <v>3</v>
      </c>
      <c r="AR44" t="s">
        <v>3</v>
      </c>
      <c r="BA44" t="s">
        <v>3</v>
      </c>
      <c r="BD44" t="s">
        <v>3</v>
      </c>
      <c r="BG44" t="s">
        <v>3</v>
      </c>
      <c r="BJ44" t="s">
        <v>3</v>
      </c>
      <c r="BM44" t="s">
        <v>3</v>
      </c>
      <c r="BP44" t="s">
        <v>3</v>
      </c>
      <c r="BS44" t="s">
        <v>3</v>
      </c>
      <c r="BV44" t="s">
        <v>3</v>
      </c>
      <c r="BZ44" t="s">
        <v>82</v>
      </c>
      <c r="CE44" t="s">
        <v>3</v>
      </c>
      <c r="CN44" t="s">
        <v>3</v>
      </c>
      <c r="CQ44">
        <f t="shared" si="63"/>
        <v>0</v>
      </c>
      <c r="CR44" s="11">
        <f t="shared" si="65"/>
        <v>0</v>
      </c>
      <c r="CS44">
        <f t="shared" si="64"/>
        <v>20</v>
      </c>
      <c r="CT44" s="10">
        <f t="shared" si="66"/>
        <v>1</v>
      </c>
    </row>
    <row r="45" spans="1:98">
      <c r="A45" s="6" t="s">
        <v>125</v>
      </c>
      <c r="B45" s="6" t="s">
        <v>17</v>
      </c>
      <c r="C45" s="6" t="s">
        <v>85</v>
      </c>
      <c r="D45" t="s">
        <v>18</v>
      </c>
      <c r="E45" t="s">
        <v>3</v>
      </c>
      <c r="H45" s="1" t="s">
        <v>82</v>
      </c>
      <c r="I45" s="1"/>
      <c r="J45" s="1"/>
      <c r="K45" t="s">
        <v>3</v>
      </c>
      <c r="N45" t="s">
        <v>3</v>
      </c>
      <c r="Q45" t="s">
        <v>3</v>
      </c>
      <c r="T45" t="s">
        <v>3</v>
      </c>
      <c r="AF45" t="s">
        <v>3</v>
      </c>
      <c r="AI45" t="s">
        <v>3</v>
      </c>
      <c r="AL45" t="s">
        <v>3</v>
      </c>
      <c r="AO45" t="s">
        <v>3</v>
      </c>
      <c r="AR45" t="s">
        <v>3</v>
      </c>
      <c r="BA45" t="s">
        <v>3</v>
      </c>
      <c r="BD45" t="s">
        <v>3</v>
      </c>
      <c r="BG45" t="s">
        <v>3</v>
      </c>
      <c r="BJ45" t="s">
        <v>3</v>
      </c>
      <c r="BM45" t="s">
        <v>3</v>
      </c>
      <c r="BP45" t="s">
        <v>3</v>
      </c>
      <c r="BS45" t="s">
        <v>3</v>
      </c>
      <c r="BV45" t="s">
        <v>3</v>
      </c>
      <c r="BZ45" t="s">
        <v>82</v>
      </c>
      <c r="CE45" t="s">
        <v>3</v>
      </c>
      <c r="CN45" t="s">
        <v>3</v>
      </c>
      <c r="CQ45">
        <f t="shared" si="63"/>
        <v>0</v>
      </c>
      <c r="CR45" s="11">
        <f t="shared" si="65"/>
        <v>0</v>
      </c>
      <c r="CS45">
        <f t="shared" si="64"/>
        <v>20</v>
      </c>
      <c r="CT45" s="10">
        <f t="shared" si="66"/>
        <v>1</v>
      </c>
    </row>
    <row r="46" spans="1:98">
      <c r="A46" s="6" t="s">
        <v>126</v>
      </c>
      <c r="B46" s="6" t="s">
        <v>68</v>
      </c>
      <c r="C46" s="6" t="s">
        <v>85</v>
      </c>
      <c r="D46" t="s">
        <v>18</v>
      </c>
      <c r="E46" s="1"/>
      <c r="F46" s="1" t="s">
        <v>0</v>
      </c>
      <c r="H46" s="1" t="s">
        <v>82</v>
      </c>
      <c r="I46" s="1"/>
      <c r="J46" s="1"/>
      <c r="L46" t="s">
        <v>0</v>
      </c>
      <c r="N46" s="1"/>
      <c r="O46" s="1" t="s">
        <v>0</v>
      </c>
      <c r="P46" s="1"/>
      <c r="Q46" s="1"/>
      <c r="R46" s="1" t="s">
        <v>0</v>
      </c>
      <c r="S46" s="1"/>
      <c r="U46" t="s">
        <v>0</v>
      </c>
      <c r="AF46" t="s">
        <v>3</v>
      </c>
      <c r="AI46" t="s">
        <v>3</v>
      </c>
      <c r="AL46" t="s">
        <v>3</v>
      </c>
      <c r="AO46" t="s">
        <v>3</v>
      </c>
      <c r="AR46" t="s">
        <v>3</v>
      </c>
      <c r="BA46" t="s">
        <v>3</v>
      </c>
      <c r="BD46" t="s">
        <v>3</v>
      </c>
      <c r="BG46" t="s">
        <v>3</v>
      </c>
      <c r="BJ46" t="s">
        <v>3</v>
      </c>
      <c r="BM46" t="s">
        <v>3</v>
      </c>
      <c r="BP46" t="s">
        <v>3</v>
      </c>
      <c r="BS46" t="s">
        <v>3</v>
      </c>
      <c r="BV46" t="s">
        <v>3</v>
      </c>
      <c r="BZ46" t="s">
        <v>82</v>
      </c>
      <c r="CE46" t="s">
        <v>3</v>
      </c>
      <c r="CN46" s="2"/>
      <c r="CO46" s="2" t="s">
        <v>0</v>
      </c>
      <c r="CP46" s="2"/>
      <c r="CQ46">
        <f t="shared" si="63"/>
        <v>6</v>
      </c>
      <c r="CR46" s="11">
        <f t="shared" si="65"/>
        <v>0.3</v>
      </c>
      <c r="CS46">
        <f t="shared" si="64"/>
        <v>14</v>
      </c>
      <c r="CT46" s="10">
        <f t="shared" si="66"/>
        <v>0.7</v>
      </c>
    </row>
    <row r="47" spans="1:98">
      <c r="A47" s="6" t="s">
        <v>127</v>
      </c>
      <c r="B47" s="6" t="s">
        <v>13</v>
      </c>
      <c r="C47" s="6" t="s">
        <v>85</v>
      </c>
      <c r="D47" t="s">
        <v>14</v>
      </c>
      <c r="E47" t="s">
        <v>3</v>
      </c>
      <c r="H47" s="1" t="s">
        <v>82</v>
      </c>
      <c r="I47" s="1"/>
      <c r="J47" s="1"/>
      <c r="K47" t="s">
        <v>3</v>
      </c>
      <c r="N47" t="s">
        <v>3</v>
      </c>
      <c r="Q47" t="s">
        <v>3</v>
      </c>
      <c r="T47" t="s">
        <v>3</v>
      </c>
      <c r="AF47" t="s">
        <v>3</v>
      </c>
      <c r="AI47" t="s">
        <v>3</v>
      </c>
      <c r="AL47" t="s">
        <v>3</v>
      </c>
      <c r="AO47" t="s">
        <v>3</v>
      </c>
      <c r="AR47" t="s">
        <v>3</v>
      </c>
      <c r="BA47" t="s">
        <v>3</v>
      </c>
      <c r="BD47" t="s">
        <v>3</v>
      </c>
      <c r="BG47" t="s">
        <v>3</v>
      </c>
      <c r="BJ47" t="s">
        <v>3</v>
      </c>
      <c r="BM47" t="s">
        <v>3</v>
      </c>
      <c r="BP47" t="s">
        <v>3</v>
      </c>
      <c r="BS47" t="s">
        <v>3</v>
      </c>
      <c r="BV47" t="s">
        <v>3</v>
      </c>
      <c r="BZ47" t="s">
        <v>82</v>
      </c>
      <c r="CE47" t="s">
        <v>3</v>
      </c>
      <c r="CN47" t="s">
        <v>3</v>
      </c>
      <c r="CQ47">
        <f t="shared" si="63"/>
        <v>0</v>
      </c>
      <c r="CR47" s="11">
        <f t="shared" si="65"/>
        <v>0</v>
      </c>
      <c r="CS47">
        <f t="shared" si="64"/>
        <v>20</v>
      </c>
      <c r="CT47" s="10">
        <f t="shared" si="66"/>
        <v>1</v>
      </c>
    </row>
    <row r="48" spans="1:98">
      <c r="A48" s="6" t="s">
        <v>128</v>
      </c>
      <c r="B48" s="6" t="s">
        <v>27</v>
      </c>
      <c r="C48" s="6" t="s">
        <v>87</v>
      </c>
      <c r="D48" t="s">
        <v>28</v>
      </c>
      <c r="E48" t="s">
        <v>3</v>
      </c>
      <c r="H48" s="1" t="s">
        <v>82</v>
      </c>
      <c r="I48" s="1"/>
      <c r="J48" s="1"/>
      <c r="L48" t="s">
        <v>0</v>
      </c>
      <c r="N48" t="s">
        <v>3</v>
      </c>
      <c r="Q48" t="s">
        <v>3</v>
      </c>
      <c r="U48" t="s">
        <v>0</v>
      </c>
      <c r="AG48" t="s">
        <v>0</v>
      </c>
      <c r="AI48" t="s">
        <v>3</v>
      </c>
      <c r="AM48" t="s">
        <v>0</v>
      </c>
      <c r="AO48" t="s">
        <v>3</v>
      </c>
      <c r="AS48" t="s">
        <v>0</v>
      </c>
      <c r="BA48" t="s">
        <v>3</v>
      </c>
      <c r="BD48" s="1"/>
      <c r="BE48" s="1" t="s">
        <v>0</v>
      </c>
      <c r="BF48" s="1"/>
      <c r="BG48" s="1"/>
      <c r="BH48" s="1" t="s">
        <v>0</v>
      </c>
      <c r="BI48" s="1"/>
      <c r="BJ48" t="s">
        <v>3</v>
      </c>
      <c r="BM48" t="s">
        <v>3</v>
      </c>
      <c r="BP48" t="s">
        <v>3</v>
      </c>
      <c r="BS48" t="s">
        <v>3</v>
      </c>
      <c r="BV48" s="1"/>
      <c r="BW48" s="1" t="s">
        <v>0</v>
      </c>
      <c r="BX48" s="1"/>
      <c r="BY48" s="1"/>
      <c r="BZ48" t="s">
        <v>82</v>
      </c>
      <c r="CE48" s="2"/>
      <c r="CF48" s="2" t="s">
        <v>0</v>
      </c>
      <c r="CG48" s="2"/>
      <c r="CN48" s="2"/>
      <c r="CO48" s="2" t="s">
        <v>0</v>
      </c>
      <c r="CP48" s="2"/>
      <c r="CQ48">
        <f t="shared" si="63"/>
        <v>10</v>
      </c>
      <c r="CR48" s="11">
        <f t="shared" si="65"/>
        <v>0.5</v>
      </c>
      <c r="CS48">
        <f t="shared" si="64"/>
        <v>10</v>
      </c>
      <c r="CT48" s="10">
        <f t="shared" si="66"/>
        <v>0.5</v>
      </c>
    </row>
    <row r="49" spans="1:98">
      <c r="A49" s="6" t="s">
        <v>129</v>
      </c>
      <c r="B49" s="6" t="s">
        <v>34</v>
      </c>
      <c r="C49" s="6" t="s">
        <v>85</v>
      </c>
      <c r="D49" t="s">
        <v>35</v>
      </c>
      <c r="E49" t="s">
        <v>3</v>
      </c>
      <c r="H49" s="1" t="s">
        <v>82</v>
      </c>
      <c r="I49" s="1"/>
      <c r="J49" s="1"/>
      <c r="K49" t="s">
        <v>3</v>
      </c>
      <c r="N49" t="s">
        <v>3</v>
      </c>
      <c r="Q49" t="s">
        <v>3</v>
      </c>
      <c r="T49" t="s">
        <v>3</v>
      </c>
      <c r="AF49" t="s">
        <v>3</v>
      </c>
      <c r="AI49" t="s">
        <v>3</v>
      </c>
      <c r="AL49" t="s">
        <v>3</v>
      </c>
      <c r="AO49" t="s">
        <v>3</v>
      </c>
      <c r="AR49" t="s">
        <v>3</v>
      </c>
      <c r="BA49" t="s">
        <v>3</v>
      </c>
      <c r="BD49" t="s">
        <v>3</v>
      </c>
      <c r="BG49" t="s">
        <v>3</v>
      </c>
      <c r="BJ49" t="s">
        <v>3</v>
      </c>
      <c r="BM49" t="s">
        <v>3</v>
      </c>
      <c r="BP49" t="s">
        <v>3</v>
      </c>
      <c r="BS49" t="s">
        <v>3</v>
      </c>
      <c r="BV49" t="s">
        <v>3</v>
      </c>
      <c r="BZ49" t="s">
        <v>82</v>
      </c>
      <c r="CE49" t="s">
        <v>3</v>
      </c>
      <c r="CN49" t="s">
        <v>3</v>
      </c>
      <c r="CQ49">
        <f t="shared" si="63"/>
        <v>0</v>
      </c>
      <c r="CR49" s="11">
        <f t="shared" si="65"/>
        <v>0</v>
      </c>
      <c r="CS49">
        <f t="shared" si="64"/>
        <v>20</v>
      </c>
      <c r="CT49" s="10">
        <f t="shared" si="66"/>
        <v>1</v>
      </c>
    </row>
    <row r="50" spans="1:98">
      <c r="A50" s="6" t="s">
        <v>130</v>
      </c>
      <c r="B50" s="6" t="s">
        <v>40</v>
      </c>
      <c r="C50" s="6" t="s">
        <v>85</v>
      </c>
      <c r="D50" t="s">
        <v>35</v>
      </c>
      <c r="E50" t="s">
        <v>3</v>
      </c>
      <c r="H50" s="1" t="s">
        <v>82</v>
      </c>
      <c r="I50" s="1"/>
      <c r="J50" s="1"/>
      <c r="K50" t="s">
        <v>3</v>
      </c>
      <c r="N50" t="s">
        <v>3</v>
      </c>
      <c r="Q50" t="s">
        <v>3</v>
      </c>
      <c r="T50" t="s">
        <v>3</v>
      </c>
      <c r="AF50" t="s">
        <v>3</v>
      </c>
      <c r="AI50" t="s">
        <v>3</v>
      </c>
      <c r="AL50" t="s">
        <v>3</v>
      </c>
      <c r="AO50" t="s">
        <v>3</v>
      </c>
      <c r="AR50" t="s">
        <v>3</v>
      </c>
      <c r="BA50" t="s">
        <v>3</v>
      </c>
      <c r="BD50" t="s">
        <v>3</v>
      </c>
      <c r="BG50" t="s">
        <v>3</v>
      </c>
      <c r="BJ50" t="s">
        <v>3</v>
      </c>
      <c r="BM50" t="s">
        <v>3</v>
      </c>
      <c r="BP50" t="s">
        <v>3</v>
      </c>
      <c r="BS50" t="s">
        <v>3</v>
      </c>
      <c r="BV50" t="s">
        <v>3</v>
      </c>
      <c r="BZ50" t="s">
        <v>82</v>
      </c>
      <c r="CE50" t="s">
        <v>3</v>
      </c>
      <c r="CN50" t="s">
        <v>3</v>
      </c>
      <c r="CQ50">
        <f t="shared" si="63"/>
        <v>0</v>
      </c>
      <c r="CR50" s="11">
        <f t="shared" si="65"/>
        <v>0</v>
      </c>
      <c r="CS50">
        <f t="shared" si="64"/>
        <v>20</v>
      </c>
      <c r="CT50" s="10">
        <f t="shared" si="66"/>
        <v>1</v>
      </c>
    </row>
    <row r="51" spans="1:98">
      <c r="A51" s="6" t="s">
        <v>131</v>
      </c>
      <c r="B51" s="6" t="s">
        <v>62</v>
      </c>
      <c r="C51" s="6" t="s">
        <v>85</v>
      </c>
      <c r="D51" t="s">
        <v>63</v>
      </c>
      <c r="E51" t="s">
        <v>3</v>
      </c>
      <c r="H51" s="1" t="s">
        <v>82</v>
      </c>
      <c r="I51" s="1"/>
      <c r="J51" s="1"/>
      <c r="K51" t="s">
        <v>3</v>
      </c>
      <c r="N51" t="s">
        <v>3</v>
      </c>
      <c r="Q51" t="s">
        <v>3</v>
      </c>
      <c r="T51" t="s">
        <v>3</v>
      </c>
      <c r="AF51" t="s">
        <v>3</v>
      </c>
      <c r="AI51" t="s">
        <v>3</v>
      </c>
      <c r="AL51" t="s">
        <v>3</v>
      </c>
      <c r="AO51" t="s">
        <v>3</v>
      </c>
      <c r="AR51" t="s">
        <v>3</v>
      </c>
      <c r="BB51" t="s">
        <v>0</v>
      </c>
      <c r="BD51" t="s">
        <v>3</v>
      </c>
      <c r="BG51" t="s">
        <v>3</v>
      </c>
      <c r="BJ51" t="s">
        <v>3</v>
      </c>
      <c r="BM51" t="s">
        <v>3</v>
      </c>
      <c r="BP51" t="s">
        <v>3</v>
      </c>
      <c r="BS51" t="s">
        <v>3</v>
      </c>
      <c r="BV51" t="s">
        <v>3</v>
      </c>
      <c r="BZ51" t="s">
        <v>82</v>
      </c>
      <c r="CE51" t="s">
        <v>3</v>
      </c>
      <c r="CN51" t="s">
        <v>3</v>
      </c>
      <c r="CQ51">
        <f t="shared" si="63"/>
        <v>1</v>
      </c>
      <c r="CR51" s="11">
        <f t="shared" si="65"/>
        <v>0.05</v>
      </c>
      <c r="CS51">
        <f t="shared" si="64"/>
        <v>19</v>
      </c>
      <c r="CT51" s="10">
        <f t="shared" si="66"/>
        <v>0.95</v>
      </c>
    </row>
    <row r="52" spans="1:98">
      <c r="A52" s="6" t="s">
        <v>132</v>
      </c>
      <c r="B52" s="6" t="s">
        <v>23</v>
      </c>
      <c r="C52" s="6" t="s">
        <v>85</v>
      </c>
      <c r="D52" t="s">
        <v>24</v>
      </c>
      <c r="E52" t="s">
        <v>3</v>
      </c>
      <c r="H52" s="1" t="s">
        <v>82</v>
      </c>
      <c r="I52" s="1"/>
      <c r="J52" s="1"/>
      <c r="K52" t="s">
        <v>3</v>
      </c>
      <c r="N52" t="s">
        <v>3</v>
      </c>
      <c r="Q52" t="s">
        <v>3</v>
      </c>
      <c r="T52" t="s">
        <v>3</v>
      </c>
      <c r="AF52" t="s">
        <v>3</v>
      </c>
      <c r="AI52" t="s">
        <v>3</v>
      </c>
      <c r="AL52" t="s">
        <v>3</v>
      </c>
      <c r="AO52" t="s">
        <v>3</v>
      </c>
      <c r="AR52" t="s">
        <v>3</v>
      </c>
      <c r="BB52" t="s">
        <v>0</v>
      </c>
      <c r="BD52" t="s">
        <v>3</v>
      </c>
      <c r="BG52" t="s">
        <v>3</v>
      </c>
      <c r="BJ52" t="s">
        <v>3</v>
      </c>
      <c r="BM52" t="s">
        <v>3</v>
      </c>
      <c r="BP52" t="s">
        <v>3</v>
      </c>
      <c r="BS52" t="s">
        <v>3</v>
      </c>
      <c r="BV52" t="s">
        <v>3</v>
      </c>
      <c r="BZ52" t="s">
        <v>82</v>
      </c>
      <c r="CE52" t="s">
        <v>3</v>
      </c>
      <c r="CN52" t="s">
        <v>3</v>
      </c>
      <c r="CQ52">
        <f t="shared" si="63"/>
        <v>1</v>
      </c>
      <c r="CR52" s="11">
        <f t="shared" si="65"/>
        <v>0.05</v>
      </c>
      <c r="CS52">
        <f t="shared" si="64"/>
        <v>19</v>
      </c>
      <c r="CT52" s="10">
        <f t="shared" si="66"/>
        <v>0.95</v>
      </c>
    </row>
    <row r="53" spans="1:98">
      <c r="A53" s="39" t="s">
        <v>146</v>
      </c>
      <c r="B53" s="39"/>
      <c r="C53" s="39"/>
      <c r="D53" s="12"/>
      <c r="E53" s="12"/>
      <c r="F53" s="12" t="s">
        <v>0</v>
      </c>
      <c r="G53" s="12"/>
      <c r="H53" s="1"/>
      <c r="I53" s="1"/>
      <c r="J53" s="1"/>
      <c r="K53" s="12"/>
      <c r="L53" s="12"/>
      <c r="M53" s="12"/>
      <c r="N53" s="9"/>
      <c r="O53" s="9"/>
      <c r="P53" s="9"/>
      <c r="CR53" s="11"/>
      <c r="CT53" s="10"/>
    </row>
    <row r="54" spans="1:98">
      <c r="A54" s="6" t="s">
        <v>133</v>
      </c>
      <c r="B54" s="6" t="s">
        <v>36</v>
      </c>
      <c r="C54" s="6" t="s">
        <v>86</v>
      </c>
      <c r="D54" t="s">
        <v>37</v>
      </c>
      <c r="E54" t="s">
        <v>3</v>
      </c>
      <c r="H54" s="1" t="s">
        <v>82</v>
      </c>
      <c r="I54" s="1"/>
      <c r="J54" s="1"/>
      <c r="K54" t="s">
        <v>3</v>
      </c>
      <c r="N54" t="s">
        <v>3</v>
      </c>
      <c r="Q54" t="s">
        <v>3</v>
      </c>
      <c r="T54" t="s">
        <v>3</v>
      </c>
      <c r="AF54" t="s">
        <v>3</v>
      </c>
      <c r="AI54" t="s">
        <v>3</v>
      </c>
      <c r="AL54" t="s">
        <v>3</v>
      </c>
      <c r="AO54" t="s">
        <v>3</v>
      </c>
      <c r="AR54" t="s">
        <v>3</v>
      </c>
      <c r="BA54" t="s">
        <v>3</v>
      </c>
      <c r="BD54" t="s">
        <v>3</v>
      </c>
      <c r="BG54" t="s">
        <v>3</v>
      </c>
      <c r="BJ54" t="s">
        <v>3</v>
      </c>
      <c r="BM54" t="s">
        <v>3</v>
      </c>
      <c r="BP54" t="s">
        <v>3</v>
      </c>
      <c r="BS54" t="s">
        <v>3</v>
      </c>
      <c r="BV54" t="s">
        <v>3</v>
      </c>
      <c r="BZ54" t="s">
        <v>82</v>
      </c>
      <c r="CE54" t="s">
        <v>3</v>
      </c>
      <c r="CN54" t="s">
        <v>3</v>
      </c>
      <c r="CQ54">
        <f t="shared" si="63"/>
        <v>0</v>
      </c>
      <c r="CR54" s="11">
        <f t="shared" si="65"/>
        <v>0</v>
      </c>
      <c r="CS54">
        <f t="shared" si="64"/>
        <v>20</v>
      </c>
      <c r="CT54" s="10">
        <f t="shared" si="66"/>
        <v>1</v>
      </c>
    </row>
    <row r="55" spans="1:98">
      <c r="A55" s="6" t="s">
        <v>135</v>
      </c>
      <c r="B55" s="6" t="s">
        <v>42</v>
      </c>
      <c r="C55" s="6" t="s">
        <v>86</v>
      </c>
      <c r="D55" t="s">
        <v>43</v>
      </c>
      <c r="E55" t="s">
        <v>3</v>
      </c>
      <c r="H55" s="1" t="s">
        <v>82</v>
      </c>
      <c r="I55" s="1"/>
      <c r="J55" s="1"/>
      <c r="K55" t="s">
        <v>3</v>
      </c>
      <c r="N55" t="s">
        <v>3</v>
      </c>
      <c r="Q55" t="s">
        <v>3</v>
      </c>
      <c r="T55" t="s">
        <v>3</v>
      </c>
      <c r="AF55" t="s">
        <v>3</v>
      </c>
      <c r="AI55" t="s">
        <v>3</v>
      </c>
      <c r="AL55" t="s">
        <v>3</v>
      </c>
      <c r="AO55" t="s">
        <v>3</v>
      </c>
      <c r="AR55" t="s">
        <v>3</v>
      </c>
      <c r="BA55" t="s">
        <v>3</v>
      </c>
      <c r="BD55" t="s">
        <v>3</v>
      </c>
      <c r="BG55" t="s">
        <v>3</v>
      </c>
      <c r="BJ55" t="s">
        <v>3</v>
      </c>
      <c r="BM55" t="s">
        <v>3</v>
      </c>
      <c r="BP55" t="s">
        <v>3</v>
      </c>
      <c r="BS55" t="s">
        <v>3</v>
      </c>
      <c r="BV55" t="s">
        <v>3</v>
      </c>
      <c r="BZ55" t="s">
        <v>82</v>
      </c>
      <c r="CE55" t="s">
        <v>3</v>
      </c>
      <c r="CN55" t="s">
        <v>3</v>
      </c>
      <c r="CQ55">
        <f t="shared" si="63"/>
        <v>0</v>
      </c>
      <c r="CR55" s="11">
        <f t="shared" si="65"/>
        <v>0</v>
      </c>
      <c r="CS55">
        <f t="shared" si="64"/>
        <v>20</v>
      </c>
      <c r="CT55" s="10">
        <f t="shared" si="66"/>
        <v>1</v>
      </c>
    </row>
    <row r="56" spans="1:98">
      <c r="A56" s="6" t="s">
        <v>136</v>
      </c>
      <c r="B56" s="6" t="s">
        <v>60</v>
      </c>
      <c r="C56" s="6" t="s">
        <v>86</v>
      </c>
      <c r="D56" t="s">
        <v>43</v>
      </c>
      <c r="E56" t="s">
        <v>3</v>
      </c>
      <c r="H56" s="1" t="s">
        <v>82</v>
      </c>
      <c r="I56" s="1"/>
      <c r="J56" s="1"/>
      <c r="K56" t="s">
        <v>3</v>
      </c>
      <c r="N56" t="s">
        <v>3</v>
      </c>
      <c r="Q56" t="s">
        <v>3</v>
      </c>
      <c r="T56" t="s">
        <v>3</v>
      </c>
      <c r="AF56" t="s">
        <v>3</v>
      </c>
      <c r="AI56" t="s">
        <v>3</v>
      </c>
      <c r="AL56" t="s">
        <v>3</v>
      </c>
      <c r="AO56" t="s">
        <v>3</v>
      </c>
      <c r="AR56" t="s">
        <v>3</v>
      </c>
      <c r="BA56" t="s">
        <v>3</v>
      </c>
      <c r="BD56" t="s">
        <v>3</v>
      </c>
      <c r="BG56" t="s">
        <v>3</v>
      </c>
      <c r="BJ56" t="s">
        <v>3</v>
      </c>
      <c r="BM56" t="s">
        <v>3</v>
      </c>
      <c r="BP56" t="s">
        <v>3</v>
      </c>
      <c r="BS56" t="s">
        <v>3</v>
      </c>
      <c r="BV56" t="s">
        <v>3</v>
      </c>
      <c r="BZ56" t="s">
        <v>82</v>
      </c>
      <c r="CE56" t="s">
        <v>3</v>
      </c>
      <c r="CN56" t="s">
        <v>3</v>
      </c>
      <c r="CQ56">
        <f t="shared" si="63"/>
        <v>0</v>
      </c>
      <c r="CR56" s="11">
        <f t="shared" si="65"/>
        <v>0</v>
      </c>
      <c r="CS56">
        <f t="shared" si="64"/>
        <v>20</v>
      </c>
      <c r="CT56" s="10">
        <f t="shared" si="66"/>
        <v>1</v>
      </c>
    </row>
    <row r="57" spans="1:98">
      <c r="A57" s="6" t="s">
        <v>137</v>
      </c>
      <c r="B57" s="6" t="s">
        <v>77</v>
      </c>
      <c r="C57" s="6" t="s">
        <v>86</v>
      </c>
      <c r="D57" t="s">
        <v>78</v>
      </c>
      <c r="E57" s="1" t="s">
        <v>3</v>
      </c>
      <c r="F57" s="1"/>
      <c r="H57" s="1" t="s">
        <v>82</v>
      </c>
      <c r="I57" s="1"/>
      <c r="J57" s="1"/>
      <c r="L57" t="s">
        <v>0</v>
      </c>
      <c r="N57" t="s">
        <v>3</v>
      </c>
      <c r="Q57" t="s">
        <v>3</v>
      </c>
      <c r="T57" t="s">
        <v>3</v>
      </c>
      <c r="AF57" t="s">
        <v>3</v>
      </c>
      <c r="AI57" t="s">
        <v>3</v>
      </c>
      <c r="AL57" t="s">
        <v>3</v>
      </c>
      <c r="AO57" t="s">
        <v>3</v>
      </c>
      <c r="AR57" t="s">
        <v>3</v>
      </c>
      <c r="BA57" t="s">
        <v>3</v>
      </c>
      <c r="BD57" t="s">
        <v>3</v>
      </c>
      <c r="BG57" t="s">
        <v>3</v>
      </c>
      <c r="BJ57" t="s">
        <v>3</v>
      </c>
      <c r="BM57" t="s">
        <v>3</v>
      </c>
      <c r="BP57" t="s">
        <v>3</v>
      </c>
      <c r="BS57" t="s">
        <v>3</v>
      </c>
      <c r="BW57" t="s">
        <v>0</v>
      </c>
      <c r="BZ57" t="s">
        <v>82</v>
      </c>
      <c r="CE57" t="s">
        <v>3</v>
      </c>
      <c r="CN57" t="s">
        <v>3</v>
      </c>
      <c r="CQ57">
        <f t="shared" si="63"/>
        <v>2</v>
      </c>
      <c r="CR57" s="11">
        <f t="shared" si="65"/>
        <v>0.1</v>
      </c>
      <c r="CS57">
        <f t="shared" si="64"/>
        <v>18</v>
      </c>
      <c r="CT57" s="10">
        <f t="shared" si="66"/>
        <v>0.9</v>
      </c>
    </row>
    <row r="58" spans="1:98">
      <c r="A58" s="6" t="s">
        <v>138</v>
      </c>
      <c r="B58" s="6" t="s">
        <v>75</v>
      </c>
      <c r="C58" s="6" t="s">
        <v>86</v>
      </c>
      <c r="D58" t="s">
        <v>76</v>
      </c>
      <c r="E58" t="s">
        <v>3</v>
      </c>
      <c r="H58" s="1" t="s">
        <v>82</v>
      </c>
      <c r="I58" s="1"/>
      <c r="J58" s="1"/>
      <c r="K58" t="s">
        <v>3</v>
      </c>
      <c r="N58" t="s">
        <v>3</v>
      </c>
      <c r="Q58" t="s">
        <v>3</v>
      </c>
      <c r="T58" t="s">
        <v>3</v>
      </c>
      <c r="AF58" t="s">
        <v>3</v>
      </c>
      <c r="AI58" t="s">
        <v>3</v>
      </c>
      <c r="AL58" t="s">
        <v>3</v>
      </c>
      <c r="AO58" t="s">
        <v>3</v>
      </c>
      <c r="AR58" t="s">
        <v>3</v>
      </c>
      <c r="BA58" t="s">
        <v>3</v>
      </c>
      <c r="BD58" t="s">
        <v>3</v>
      </c>
      <c r="BG58" t="s">
        <v>3</v>
      </c>
      <c r="BJ58" t="s">
        <v>3</v>
      </c>
      <c r="BM58" t="s">
        <v>3</v>
      </c>
      <c r="BP58" t="s">
        <v>3</v>
      </c>
      <c r="BS58" t="s">
        <v>3</v>
      </c>
      <c r="BV58" t="s">
        <v>3</v>
      </c>
      <c r="BZ58" t="s">
        <v>82</v>
      </c>
      <c r="CE58" t="s">
        <v>3</v>
      </c>
      <c r="CN58" t="s">
        <v>3</v>
      </c>
      <c r="CQ58">
        <f t="shared" si="63"/>
        <v>0</v>
      </c>
      <c r="CR58" s="11">
        <f t="shared" si="65"/>
        <v>0</v>
      </c>
      <c r="CS58">
        <f t="shared" si="64"/>
        <v>20</v>
      </c>
      <c r="CT58" s="10">
        <f t="shared" si="66"/>
        <v>1</v>
      </c>
    </row>
    <row r="59" spans="1:98">
      <c r="A59" s="6" t="s">
        <v>139</v>
      </c>
      <c r="B59" s="7" t="s">
        <v>19</v>
      </c>
      <c r="C59" s="7" t="s">
        <v>86</v>
      </c>
      <c r="D59" s="1" t="s">
        <v>20</v>
      </c>
      <c r="E59" s="1"/>
      <c r="F59" s="1" t="s">
        <v>0</v>
      </c>
      <c r="G59" s="1"/>
      <c r="H59" s="1"/>
      <c r="I59" s="1" t="s">
        <v>82</v>
      </c>
      <c r="J59" s="1"/>
      <c r="K59" s="1"/>
      <c r="L59" s="1" t="s">
        <v>0</v>
      </c>
      <c r="M59" s="1"/>
      <c r="N59" s="1"/>
      <c r="O59" s="1" t="s">
        <v>0</v>
      </c>
      <c r="P59" s="1"/>
      <c r="Q59" s="1"/>
      <c r="R59" s="1" t="s">
        <v>0</v>
      </c>
      <c r="S59" s="1"/>
      <c r="U59" t="s">
        <v>0</v>
      </c>
      <c r="AF59" s="1"/>
      <c r="AG59" s="1" t="s">
        <v>0</v>
      </c>
      <c r="AH59" s="1"/>
      <c r="AI59" s="1"/>
      <c r="AJ59" s="1" t="s">
        <v>0</v>
      </c>
      <c r="AK59" s="1"/>
      <c r="AL59" t="s">
        <v>3</v>
      </c>
      <c r="AP59" s="1" t="s">
        <v>0</v>
      </c>
      <c r="AQ59" s="1"/>
      <c r="AR59" s="1"/>
      <c r="AS59" s="1" t="s">
        <v>0</v>
      </c>
      <c r="BA59" s="1"/>
      <c r="BB59" s="1" t="s">
        <v>0</v>
      </c>
      <c r="BC59" s="1"/>
      <c r="BD59" s="1"/>
      <c r="BE59" s="1" t="s">
        <v>0</v>
      </c>
      <c r="BF59" s="1"/>
      <c r="BG59" s="1"/>
      <c r="BH59" s="1" t="s">
        <v>0</v>
      </c>
      <c r="BI59" s="1"/>
      <c r="BJ59" t="s">
        <v>3</v>
      </c>
      <c r="BM59" s="1"/>
      <c r="BN59" s="1" t="s">
        <v>0</v>
      </c>
      <c r="BO59" s="1"/>
      <c r="BP59" s="1"/>
      <c r="BQ59" s="1" t="s">
        <v>0</v>
      </c>
      <c r="BR59" s="1"/>
      <c r="BS59" s="1"/>
      <c r="BT59" s="1" t="s">
        <v>0</v>
      </c>
      <c r="BU59" s="1"/>
      <c r="BW59" t="s">
        <v>0</v>
      </c>
      <c r="BZ59" t="s">
        <v>82</v>
      </c>
      <c r="CE59" s="2"/>
      <c r="CF59" s="2" t="s">
        <v>0</v>
      </c>
      <c r="CG59" s="2"/>
      <c r="CN59" s="2"/>
      <c r="CO59" s="2" t="s">
        <v>0</v>
      </c>
      <c r="CP59" s="2"/>
      <c r="CQ59">
        <f t="shared" si="63"/>
        <v>18</v>
      </c>
      <c r="CR59" s="11">
        <f t="shared" si="65"/>
        <v>0.9</v>
      </c>
      <c r="CS59">
        <f t="shared" si="64"/>
        <v>2</v>
      </c>
      <c r="CT59" s="10">
        <f t="shared" si="66"/>
        <v>0.1</v>
      </c>
    </row>
    <row r="60" spans="1:98">
      <c r="A60" s="6" t="s">
        <v>140</v>
      </c>
      <c r="B60" s="7" t="s">
        <v>41</v>
      </c>
      <c r="C60" s="7" t="s">
        <v>86</v>
      </c>
      <c r="D60" s="1" t="s">
        <v>20</v>
      </c>
      <c r="E60" s="1"/>
      <c r="F60" s="1" t="s">
        <v>0</v>
      </c>
      <c r="G60" s="1"/>
      <c r="H60" s="1"/>
      <c r="I60" s="1" t="s">
        <v>82</v>
      </c>
      <c r="J60" s="1"/>
      <c r="K60" s="1"/>
      <c r="L60" s="1" t="s">
        <v>0</v>
      </c>
      <c r="M60" s="1"/>
      <c r="N60" s="1"/>
      <c r="O60" s="1" t="s">
        <v>0</v>
      </c>
      <c r="P60" s="1"/>
      <c r="Q60" s="1"/>
      <c r="R60" s="1" t="s">
        <v>0</v>
      </c>
      <c r="S60" s="1"/>
      <c r="U60" t="s">
        <v>0</v>
      </c>
      <c r="AF60" s="1"/>
      <c r="AG60" s="1" t="s">
        <v>0</v>
      </c>
      <c r="AH60" s="1"/>
      <c r="AI60" s="1"/>
      <c r="AJ60" s="1" t="s">
        <v>0</v>
      </c>
      <c r="AK60" s="1"/>
      <c r="AL60" s="1"/>
      <c r="AM60" s="1" t="s">
        <v>0</v>
      </c>
      <c r="AN60" s="1"/>
      <c r="AO60" s="1"/>
      <c r="AP60" s="1" t="s">
        <v>0</v>
      </c>
      <c r="AQ60" s="1"/>
      <c r="AR60" s="1"/>
      <c r="AS60" s="1" t="s">
        <v>0</v>
      </c>
      <c r="BA60" s="1"/>
      <c r="BB60" s="1" t="s">
        <v>0</v>
      </c>
      <c r="BC60" s="1"/>
      <c r="BD60" s="1"/>
      <c r="BE60" s="1" t="s">
        <v>0</v>
      </c>
      <c r="BF60" s="1"/>
      <c r="BG60" s="1"/>
      <c r="BH60" s="1" t="s">
        <v>0</v>
      </c>
      <c r="BI60" s="1"/>
      <c r="BJ60" s="1"/>
      <c r="BK60" s="1" t="s">
        <v>0</v>
      </c>
      <c r="BL60" s="1"/>
      <c r="BM60" s="1"/>
      <c r="BN60" s="1" t="s">
        <v>0</v>
      </c>
      <c r="BO60" s="1"/>
      <c r="BP60" s="1"/>
      <c r="BQ60" s="1" t="s">
        <v>0</v>
      </c>
      <c r="BR60" s="1"/>
      <c r="BS60" s="1"/>
      <c r="BT60" s="1" t="s">
        <v>0</v>
      </c>
      <c r="BU60" s="1"/>
      <c r="BW60" t="s">
        <v>0</v>
      </c>
      <c r="BZ60" t="s">
        <v>82</v>
      </c>
      <c r="CE60" s="2"/>
      <c r="CF60" s="2" t="s">
        <v>0</v>
      </c>
      <c r="CG60" s="2"/>
      <c r="CN60" s="2"/>
      <c r="CO60" s="2" t="s">
        <v>0</v>
      </c>
      <c r="CP60" s="2"/>
      <c r="CQ60">
        <f t="shared" si="63"/>
        <v>20</v>
      </c>
      <c r="CR60" s="11">
        <f t="shared" si="65"/>
        <v>1</v>
      </c>
      <c r="CS60">
        <f t="shared" si="64"/>
        <v>0</v>
      </c>
      <c r="CT60" s="10">
        <f t="shared" si="66"/>
        <v>0</v>
      </c>
    </row>
    <row r="61" spans="1:98">
      <c r="A61" s="6" t="s">
        <v>141</v>
      </c>
      <c r="B61" s="6" t="s">
        <v>64</v>
      </c>
      <c r="C61" s="6" t="s">
        <v>86</v>
      </c>
      <c r="D61" t="s">
        <v>20</v>
      </c>
      <c r="E61" t="s">
        <v>3</v>
      </c>
      <c r="H61" t="s">
        <v>82</v>
      </c>
      <c r="K61" t="s">
        <v>3</v>
      </c>
      <c r="N61" t="s">
        <v>3</v>
      </c>
      <c r="Q61" t="s">
        <v>3</v>
      </c>
      <c r="T61" t="s">
        <v>3</v>
      </c>
      <c r="AF61" t="s">
        <v>3</v>
      </c>
      <c r="AI61" t="s">
        <v>3</v>
      </c>
      <c r="AL61" t="s">
        <v>3</v>
      </c>
      <c r="AO61" t="s">
        <v>3</v>
      </c>
      <c r="AR61" t="s">
        <v>3</v>
      </c>
      <c r="BA61" t="s">
        <v>3</v>
      </c>
      <c r="BD61" t="s">
        <v>3</v>
      </c>
      <c r="BG61" t="s">
        <v>3</v>
      </c>
      <c r="BJ61" t="s">
        <v>3</v>
      </c>
      <c r="BM61" t="s">
        <v>3</v>
      </c>
      <c r="BP61" t="s">
        <v>3</v>
      </c>
      <c r="BS61" t="s">
        <v>3</v>
      </c>
      <c r="BV61" t="s">
        <v>3</v>
      </c>
      <c r="BZ61" t="s">
        <v>82</v>
      </c>
      <c r="CE61" t="s">
        <v>3</v>
      </c>
      <c r="CN61" t="s">
        <v>3</v>
      </c>
      <c r="CQ61">
        <f t="shared" si="63"/>
        <v>0</v>
      </c>
      <c r="CR61" s="11">
        <f t="shared" si="65"/>
        <v>0</v>
      </c>
      <c r="CS61">
        <f t="shared" si="64"/>
        <v>20</v>
      </c>
      <c r="CT61" s="10">
        <f t="shared" si="66"/>
        <v>1</v>
      </c>
    </row>
    <row r="62" spans="1:98">
      <c r="A62" s="40" t="s">
        <v>86</v>
      </c>
      <c r="B62" s="40"/>
      <c r="C62" s="12"/>
      <c r="D62" s="12"/>
      <c r="E62" s="12"/>
      <c r="F62" s="12" t="s">
        <v>0</v>
      </c>
      <c r="G62" s="12"/>
      <c r="H62" s="12"/>
      <c r="I62" s="12"/>
      <c r="J62" s="12"/>
      <c r="K62" s="12"/>
      <c r="L62" s="12" t="s">
        <v>0</v>
      </c>
      <c r="M62" s="12"/>
      <c r="CQ62">
        <f t="shared" si="63"/>
        <v>2</v>
      </c>
      <c r="CR62" s="11">
        <f t="shared" si="65"/>
        <v>1</v>
      </c>
      <c r="CS62">
        <f t="shared" si="64"/>
        <v>0</v>
      </c>
      <c r="CT62" s="10">
        <f t="shared" si="66"/>
        <v>0</v>
      </c>
    </row>
    <row r="63" spans="1:98">
      <c r="A63" s="41" t="s">
        <v>147</v>
      </c>
      <c r="B63" s="41"/>
      <c r="C63" s="41"/>
      <c r="D63" s="15"/>
      <c r="E63" s="15"/>
      <c r="F63" s="15" t="s">
        <v>0</v>
      </c>
      <c r="G63" s="15"/>
      <c r="H63" s="15"/>
      <c r="I63" s="15"/>
      <c r="J63" s="15"/>
      <c r="K63" s="15"/>
      <c r="L63" s="15" t="s">
        <v>0</v>
      </c>
      <c r="M63" s="15"/>
      <c r="CQ63">
        <f t="shared" si="63"/>
        <v>2</v>
      </c>
      <c r="CR63" s="11">
        <f t="shared" si="65"/>
        <v>1</v>
      </c>
      <c r="CS63">
        <f t="shared" si="64"/>
        <v>0</v>
      </c>
      <c r="CT63" s="10">
        <f t="shared" si="66"/>
        <v>0</v>
      </c>
    </row>
  </sheetData>
  <autoFilter ref="CR3:CR63"/>
  <mergeCells count="38">
    <mergeCell ref="N4:P4"/>
    <mergeCell ref="B3:B5"/>
    <mergeCell ref="C3:C5"/>
    <mergeCell ref="D3:D5"/>
    <mergeCell ref="H4:J4"/>
    <mergeCell ref="K4:M4"/>
    <mergeCell ref="A53:C53"/>
    <mergeCell ref="A62:B62"/>
    <mergeCell ref="A63:C63"/>
    <mergeCell ref="BS4:BU4"/>
    <mergeCell ref="BV4:BX4"/>
    <mergeCell ref="BA4:BC4"/>
    <mergeCell ref="BD4:BF4"/>
    <mergeCell ref="BG4:BI4"/>
    <mergeCell ref="BJ4:BL4"/>
    <mergeCell ref="BM4:BO4"/>
    <mergeCell ref="BP4:BR4"/>
    <mergeCell ref="AI4:AK4"/>
    <mergeCell ref="AL4:AN4"/>
    <mergeCell ref="AO4:AQ4"/>
    <mergeCell ref="AR4:AT4"/>
    <mergeCell ref="AU4:AW4"/>
    <mergeCell ref="CQ4:CR4"/>
    <mergeCell ref="CS4:CT4"/>
    <mergeCell ref="CK4:CM4"/>
    <mergeCell ref="CN4:CP4"/>
    <mergeCell ref="A43:C43"/>
    <mergeCell ref="BY4:CA4"/>
    <mergeCell ref="CB4:CD4"/>
    <mergeCell ref="CE4:CG4"/>
    <mergeCell ref="CH4:CJ4"/>
    <mergeCell ref="AX4:AZ4"/>
    <mergeCell ref="Q4:S4"/>
    <mergeCell ref="T4:V4"/>
    <mergeCell ref="W4:Y4"/>
    <mergeCell ref="Z4:AB4"/>
    <mergeCell ref="AC4:AE4"/>
    <mergeCell ref="AF4:AH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F17" sqref="F17"/>
    </sheetView>
  </sheetViews>
  <sheetFormatPr defaultRowHeight="14.5"/>
  <cols>
    <col min="1" max="1" width="12.08203125" bestFit="1" customWidth="1"/>
    <col min="4" max="4" width="16.58203125" bestFit="1" customWidth="1"/>
    <col min="5" max="5" width="8.9140625" customWidth="1"/>
    <col min="6" max="6" width="15.33203125" bestFit="1" customWidth="1"/>
  </cols>
  <sheetData>
    <row r="1" spans="1:6" ht="15.5">
      <c r="A1" s="16" t="s">
        <v>239</v>
      </c>
      <c r="B1" s="16" t="s">
        <v>238</v>
      </c>
      <c r="C1" s="17" t="s">
        <v>150</v>
      </c>
      <c r="D1" s="44" t="s">
        <v>240</v>
      </c>
      <c r="E1" s="45"/>
    </row>
    <row r="2" spans="1:6" ht="15.5">
      <c r="A2" s="16"/>
      <c r="B2" s="16"/>
      <c r="C2" s="17"/>
      <c r="D2" s="17" t="s">
        <v>241</v>
      </c>
      <c r="E2" s="17" t="s">
        <v>242</v>
      </c>
      <c r="F2" t="s">
        <v>306</v>
      </c>
    </row>
    <row r="3" spans="1:6">
      <c r="A3" t="s">
        <v>243</v>
      </c>
      <c r="B3" t="s">
        <v>85</v>
      </c>
      <c r="C3" t="s">
        <v>244</v>
      </c>
      <c r="D3" s="28">
        <v>45766</v>
      </c>
      <c r="E3" t="s">
        <v>0</v>
      </c>
      <c r="F3" t="s">
        <v>0</v>
      </c>
    </row>
    <row r="4" spans="1:6">
      <c r="A4" t="s">
        <v>153</v>
      </c>
      <c r="B4" t="s">
        <v>85</v>
      </c>
      <c r="C4" t="s">
        <v>171</v>
      </c>
      <c r="D4" s="28">
        <v>45784</v>
      </c>
      <c r="E4" t="s">
        <v>0</v>
      </c>
      <c r="F4" t="s">
        <v>0</v>
      </c>
    </row>
    <row r="5" spans="1:6">
      <c r="A5" t="s">
        <v>245</v>
      </c>
      <c r="B5" t="s">
        <v>85</v>
      </c>
      <c r="C5" t="s">
        <v>198</v>
      </c>
      <c r="D5" s="28">
        <v>45900</v>
      </c>
      <c r="E5" t="s">
        <v>3</v>
      </c>
      <c r="F5" t="s">
        <v>3</v>
      </c>
    </row>
    <row r="6" spans="1:6">
      <c r="A6" t="s">
        <v>246</v>
      </c>
      <c r="B6" t="s">
        <v>86</v>
      </c>
      <c r="C6" t="s">
        <v>247</v>
      </c>
      <c r="D6" s="28">
        <v>45900</v>
      </c>
      <c r="E6" t="s">
        <v>3</v>
      </c>
      <c r="F6" t="s">
        <v>3</v>
      </c>
    </row>
    <row r="7" spans="1:6">
      <c r="A7" t="s">
        <v>248</v>
      </c>
      <c r="B7" t="s">
        <v>86</v>
      </c>
      <c r="C7" t="s">
        <v>60</v>
      </c>
      <c r="D7" s="28">
        <v>45900</v>
      </c>
      <c r="E7" t="s">
        <v>3</v>
      </c>
      <c r="F7" t="s">
        <v>3</v>
      </c>
    </row>
    <row r="8" spans="1:6">
      <c r="A8" t="s">
        <v>249</v>
      </c>
      <c r="B8" t="s">
        <v>86</v>
      </c>
      <c r="C8" t="s">
        <v>152</v>
      </c>
      <c r="D8" t="s">
        <v>253</v>
      </c>
      <c r="E8" t="s">
        <v>0</v>
      </c>
      <c r="F8" t="s">
        <v>0</v>
      </c>
    </row>
    <row r="9" spans="1:6">
      <c r="A9" t="s">
        <v>250</v>
      </c>
      <c r="B9" t="s">
        <v>86</v>
      </c>
      <c r="C9" t="s">
        <v>179</v>
      </c>
      <c r="D9" s="28">
        <v>45900</v>
      </c>
      <c r="E9" t="s">
        <v>3</v>
      </c>
      <c r="F9" t="s">
        <v>3</v>
      </c>
    </row>
    <row r="10" spans="1:6">
      <c r="A10" t="s">
        <v>251</v>
      </c>
      <c r="B10" t="s">
        <v>88</v>
      </c>
      <c r="C10" t="s">
        <v>252</v>
      </c>
      <c r="D10" s="27">
        <v>45640</v>
      </c>
      <c r="E10" t="s">
        <v>0</v>
      </c>
      <c r="F10" t="s">
        <v>0</v>
      </c>
    </row>
    <row r="11" spans="1:6">
      <c r="A11" t="s">
        <v>149</v>
      </c>
      <c r="E11">
        <f>COUNTIF(E3:E10,"YES")</f>
        <v>4</v>
      </c>
      <c r="F11">
        <f>COUNTIF(F3:F10,"YES")</f>
        <v>4</v>
      </c>
    </row>
    <row r="12" spans="1:6">
      <c r="A12" t="s">
        <v>261</v>
      </c>
      <c r="E12" s="11">
        <f>E11/8</f>
        <v>0.5</v>
      </c>
      <c r="F12" s="11">
        <f>F11/8</f>
        <v>0.5</v>
      </c>
    </row>
  </sheetData>
  <autoFilter ref="E1:E12"/>
  <mergeCells count="1">
    <mergeCell ref="D1:E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14"/>
  <sheetViews>
    <sheetView workbookViewId="0">
      <selection activeCell="E13" sqref="E13"/>
    </sheetView>
  </sheetViews>
  <sheetFormatPr defaultRowHeight="14.5"/>
  <cols>
    <col min="1" max="1" width="12.9140625" bestFit="1" customWidth="1"/>
    <col min="3" max="3" width="12.25" bestFit="1" customWidth="1"/>
    <col min="4" max="4" width="11.08203125" bestFit="1" customWidth="1"/>
    <col min="6" max="6" width="15.33203125" bestFit="1" customWidth="1"/>
  </cols>
  <sheetData>
    <row r="2" spans="1:6" ht="15.5">
      <c r="A2" s="48" t="s">
        <v>239</v>
      </c>
      <c r="B2" s="48" t="s">
        <v>238</v>
      </c>
      <c r="C2" s="50" t="s">
        <v>150</v>
      </c>
      <c r="D2" s="46" t="s">
        <v>240</v>
      </c>
      <c r="E2" s="47"/>
      <c r="F2" s="47"/>
    </row>
    <row r="3" spans="1:6" ht="15.5">
      <c r="A3" s="49"/>
      <c r="B3" s="49"/>
      <c r="C3" s="51"/>
      <c r="D3" s="17" t="s">
        <v>241</v>
      </c>
      <c r="E3" s="17" t="s">
        <v>307</v>
      </c>
      <c r="F3" s="31" t="s">
        <v>308</v>
      </c>
    </row>
    <row r="4" spans="1:6">
      <c r="A4" t="s">
        <v>256</v>
      </c>
      <c r="B4" t="s">
        <v>87</v>
      </c>
      <c r="C4" t="s">
        <v>257</v>
      </c>
      <c r="D4" s="26">
        <v>45684</v>
      </c>
      <c r="E4" t="s">
        <v>0</v>
      </c>
      <c r="F4" t="s">
        <v>0</v>
      </c>
    </row>
    <row r="5" spans="1:6">
      <c r="A5" t="s">
        <v>258</v>
      </c>
      <c r="B5" t="s">
        <v>87</v>
      </c>
      <c r="C5" t="s">
        <v>259</v>
      </c>
      <c r="D5" s="26">
        <v>45834</v>
      </c>
      <c r="E5" t="s">
        <v>0</v>
      </c>
      <c r="F5" t="s">
        <v>0</v>
      </c>
    </row>
    <row r="6" spans="1:6">
      <c r="A6" t="s">
        <v>262</v>
      </c>
      <c r="B6" t="s">
        <v>89</v>
      </c>
      <c r="C6" t="s">
        <v>269</v>
      </c>
      <c r="D6" s="27">
        <v>45900</v>
      </c>
      <c r="E6" t="s">
        <v>3</v>
      </c>
      <c r="F6" t="s">
        <v>3</v>
      </c>
    </row>
    <row r="7" spans="1:6">
      <c r="A7" s="30" t="s">
        <v>263</v>
      </c>
      <c r="D7" s="27">
        <v>45900</v>
      </c>
      <c r="E7" t="s">
        <v>3</v>
      </c>
      <c r="F7" t="s">
        <v>3</v>
      </c>
    </row>
    <row r="8" spans="1:6">
      <c r="A8" t="s">
        <v>264</v>
      </c>
      <c r="D8" s="27">
        <v>45900</v>
      </c>
      <c r="E8" t="s">
        <v>3</v>
      </c>
      <c r="F8" t="s">
        <v>3</v>
      </c>
    </row>
    <row r="9" spans="1:6">
      <c r="A9" t="s">
        <v>265</v>
      </c>
      <c r="D9" s="27">
        <v>45760</v>
      </c>
      <c r="E9" t="s">
        <v>0</v>
      </c>
      <c r="F9" t="s">
        <v>0</v>
      </c>
    </row>
    <row r="10" spans="1:6">
      <c r="A10" t="s">
        <v>266</v>
      </c>
      <c r="D10" s="27">
        <v>45900</v>
      </c>
      <c r="E10" t="s">
        <v>3</v>
      </c>
      <c r="F10" t="s">
        <v>3</v>
      </c>
    </row>
    <row r="11" spans="1:6">
      <c r="A11" t="s">
        <v>267</v>
      </c>
      <c r="D11" s="27">
        <v>45898</v>
      </c>
      <c r="E11" t="s">
        <v>3</v>
      </c>
      <c r="F11" t="s">
        <v>0</v>
      </c>
    </row>
    <row r="12" spans="1:6">
      <c r="A12" t="s">
        <v>268</v>
      </c>
      <c r="B12" t="s">
        <v>87</v>
      </c>
      <c r="C12" t="s">
        <v>259</v>
      </c>
      <c r="D12" s="27">
        <v>45870</v>
      </c>
      <c r="E12" t="s">
        <v>3</v>
      </c>
      <c r="F12" t="s">
        <v>3</v>
      </c>
    </row>
    <row r="13" spans="1:6">
      <c r="A13" t="s">
        <v>149</v>
      </c>
      <c r="E13">
        <f>COUNTIF(E4:E12,"YES")</f>
        <v>6</v>
      </c>
      <c r="F13">
        <f>COUNTIF(F4:F12,"YES")</f>
        <v>5</v>
      </c>
    </row>
    <row r="14" spans="1:6">
      <c r="A14" t="s">
        <v>261</v>
      </c>
      <c r="E14" s="10">
        <f>E13/9</f>
        <v>0.66666666666666663</v>
      </c>
      <c r="F14" s="10">
        <f>F13/9</f>
        <v>0.55555555555555558</v>
      </c>
    </row>
  </sheetData>
  <autoFilter ref="E2:E24"/>
  <mergeCells count="4">
    <mergeCell ref="D2:F2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5"/>
  <sheetViews>
    <sheetView workbookViewId="0">
      <selection activeCell="K20" sqref="K20"/>
    </sheetView>
  </sheetViews>
  <sheetFormatPr defaultRowHeight="14.5"/>
  <cols>
    <col min="1" max="1" width="12.08203125" bestFit="1" customWidth="1"/>
    <col min="2" max="2" width="8" bestFit="1" customWidth="1"/>
    <col min="3" max="3" width="12.25" bestFit="1" customWidth="1"/>
    <col min="4" max="4" width="11.08203125" bestFit="1" customWidth="1"/>
    <col min="5" max="5" width="5.6640625" bestFit="1" customWidth="1"/>
    <col min="6" max="6" width="16.08203125" bestFit="1" customWidth="1"/>
  </cols>
  <sheetData>
    <row r="1" spans="1:6" ht="15.5">
      <c r="A1" s="48" t="s">
        <v>239</v>
      </c>
      <c r="B1" s="48" t="s">
        <v>238</v>
      </c>
      <c r="C1" s="50" t="s">
        <v>150</v>
      </c>
      <c r="D1" s="46" t="s">
        <v>240</v>
      </c>
      <c r="E1" s="47"/>
      <c r="F1" s="47"/>
    </row>
    <row r="2" spans="1:6" ht="15.5">
      <c r="A2" s="49"/>
      <c r="B2" s="49"/>
      <c r="C2" s="51"/>
      <c r="D2" s="17" t="s">
        <v>241</v>
      </c>
      <c r="E2" s="17" t="s">
        <v>242</v>
      </c>
      <c r="F2" s="31" t="s">
        <v>260</v>
      </c>
    </row>
    <row r="3" spans="1:6">
      <c r="A3" t="s">
        <v>270</v>
      </c>
      <c r="B3" t="s">
        <v>86</v>
      </c>
      <c r="C3" t="s">
        <v>254</v>
      </c>
      <c r="D3" s="26">
        <v>45900</v>
      </c>
      <c r="E3" t="s">
        <v>3</v>
      </c>
      <c r="F3" t="s">
        <v>3</v>
      </c>
    </row>
    <row r="4" spans="1:6">
      <c r="A4" t="s">
        <v>271</v>
      </c>
      <c r="B4" t="s">
        <v>86</v>
      </c>
      <c r="C4" t="s">
        <v>283</v>
      </c>
      <c r="D4" s="26">
        <v>45823</v>
      </c>
      <c r="E4" t="s">
        <v>0</v>
      </c>
      <c r="F4" t="s">
        <v>0</v>
      </c>
    </row>
    <row r="5" spans="1:6">
      <c r="A5" t="s">
        <v>272</v>
      </c>
      <c r="B5" t="s">
        <v>86</v>
      </c>
      <c r="C5" t="s">
        <v>255</v>
      </c>
      <c r="D5" s="27">
        <v>45610</v>
      </c>
      <c r="E5" t="s">
        <v>0</v>
      </c>
      <c r="F5" t="s">
        <v>0</v>
      </c>
    </row>
    <row r="6" spans="1:6">
      <c r="A6" t="s">
        <v>273</v>
      </c>
      <c r="B6" t="s">
        <v>88</v>
      </c>
      <c r="C6" t="s">
        <v>282</v>
      </c>
      <c r="D6" s="26">
        <v>45898</v>
      </c>
      <c r="E6" t="s">
        <v>3</v>
      </c>
      <c r="F6" t="s">
        <v>0</v>
      </c>
    </row>
    <row r="7" spans="1:6">
      <c r="A7" t="s">
        <v>274</v>
      </c>
      <c r="B7" t="s">
        <v>85</v>
      </c>
      <c r="C7" t="s">
        <v>284</v>
      </c>
      <c r="D7" s="26">
        <v>45750</v>
      </c>
      <c r="E7" t="s">
        <v>0</v>
      </c>
      <c r="F7" t="s">
        <v>0</v>
      </c>
    </row>
    <row r="8" spans="1:6">
      <c r="A8" t="s">
        <v>275</v>
      </c>
      <c r="B8" t="s">
        <v>87</v>
      </c>
      <c r="C8" t="s">
        <v>285</v>
      </c>
      <c r="D8" s="26" t="s">
        <v>309</v>
      </c>
      <c r="E8" t="s">
        <v>3</v>
      </c>
      <c r="F8" t="s">
        <v>3</v>
      </c>
    </row>
    <row r="9" spans="1:6">
      <c r="A9" t="s">
        <v>276</v>
      </c>
      <c r="B9" t="s">
        <v>85</v>
      </c>
      <c r="C9" t="s">
        <v>286</v>
      </c>
      <c r="D9" s="26">
        <v>45900</v>
      </c>
      <c r="E9" t="s">
        <v>3</v>
      </c>
      <c r="F9" t="s">
        <v>3</v>
      </c>
    </row>
    <row r="10" spans="1:6">
      <c r="A10" t="s">
        <v>277</v>
      </c>
      <c r="B10" t="s">
        <v>85</v>
      </c>
      <c r="C10" t="s">
        <v>286</v>
      </c>
      <c r="D10" s="26">
        <v>45900</v>
      </c>
      <c r="E10" t="s">
        <v>3</v>
      </c>
      <c r="F10" t="s">
        <v>3</v>
      </c>
    </row>
    <row r="11" spans="1:6">
      <c r="A11" t="s">
        <v>278</v>
      </c>
      <c r="B11" t="s">
        <v>88</v>
      </c>
      <c r="C11" t="s">
        <v>287</v>
      </c>
      <c r="D11" s="26">
        <v>45900</v>
      </c>
      <c r="E11" t="s">
        <v>3</v>
      </c>
      <c r="F11" t="s">
        <v>3</v>
      </c>
    </row>
    <row r="12" spans="1:6">
      <c r="A12" t="s">
        <v>279</v>
      </c>
      <c r="B12" t="s">
        <v>87</v>
      </c>
      <c r="C12" t="s">
        <v>288</v>
      </c>
      <c r="D12" s="26">
        <v>45769</v>
      </c>
      <c r="E12" t="s">
        <v>0</v>
      </c>
      <c r="F12" t="s">
        <v>0</v>
      </c>
    </row>
    <row r="13" spans="1:6">
      <c r="A13" t="s">
        <v>280</v>
      </c>
      <c r="B13" t="s">
        <v>88</v>
      </c>
      <c r="C13" t="s">
        <v>281</v>
      </c>
      <c r="D13" s="26">
        <v>45900</v>
      </c>
      <c r="E13" t="s">
        <v>3</v>
      </c>
      <c r="F13" t="s">
        <v>3</v>
      </c>
    </row>
    <row r="14" spans="1:6">
      <c r="A14" t="s">
        <v>149</v>
      </c>
      <c r="E14">
        <f>COUNTIF(E3:E13,"YES")</f>
        <v>7</v>
      </c>
      <c r="F14">
        <f>COUNTIF(F3:F13,"YES")</f>
        <v>6</v>
      </c>
    </row>
    <row r="15" spans="1:6">
      <c r="A15" t="s">
        <v>261</v>
      </c>
      <c r="E15" s="10">
        <f>E14/11</f>
        <v>0.63636363636363635</v>
      </c>
      <c r="F15" s="10">
        <f>F14/11</f>
        <v>0.54545454545454541</v>
      </c>
    </row>
  </sheetData>
  <autoFilter ref="E1:E15"/>
  <mergeCells count="4">
    <mergeCell ref="A1:A2"/>
    <mergeCell ref="B1:B2"/>
    <mergeCell ref="C1:C2"/>
    <mergeCell ref="D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5"/>
  <sheetViews>
    <sheetView tabSelected="1" topLeftCell="A62" workbookViewId="0">
      <selection activeCell="E84" sqref="E84"/>
    </sheetView>
  </sheetViews>
  <sheetFormatPr defaultRowHeight="14.5"/>
  <cols>
    <col min="2" max="2" width="14.33203125" bestFit="1" customWidth="1"/>
    <col min="3" max="3" width="14.33203125" customWidth="1"/>
    <col min="4" max="4" width="10.5" bestFit="1" customWidth="1"/>
    <col min="5" max="5" width="17.5" bestFit="1" customWidth="1"/>
    <col min="6" max="6" width="17.5" customWidth="1"/>
    <col min="7" max="7" width="10.5" customWidth="1"/>
  </cols>
  <sheetData>
    <row r="1" spans="1:7" ht="15.5">
      <c r="A1" s="16"/>
      <c r="B1" s="16" t="s">
        <v>239</v>
      </c>
      <c r="C1" s="16" t="s">
        <v>238</v>
      </c>
      <c r="D1" s="17" t="s">
        <v>150</v>
      </c>
      <c r="E1" s="44" t="s">
        <v>240</v>
      </c>
      <c r="F1" s="45"/>
      <c r="G1" s="55"/>
    </row>
    <row r="2" spans="1:7" ht="15.5">
      <c r="A2" s="16"/>
      <c r="B2" s="16"/>
      <c r="C2" s="16"/>
      <c r="D2" s="17"/>
      <c r="E2" s="17" t="s">
        <v>241</v>
      </c>
      <c r="F2" s="17" t="s">
        <v>307</v>
      </c>
      <c r="G2" s="56">
        <v>45900</v>
      </c>
    </row>
    <row r="3" spans="1:7">
      <c r="A3" s="18">
        <v>1</v>
      </c>
      <c r="B3" s="21" t="s">
        <v>237</v>
      </c>
      <c r="C3" s="21" t="s">
        <v>88</v>
      </c>
      <c r="D3" s="21" t="s">
        <v>5</v>
      </c>
      <c r="E3" s="24">
        <v>45811</v>
      </c>
      <c r="F3" s="21" t="s">
        <v>0</v>
      </c>
      <c r="G3" s="21" t="s">
        <v>0</v>
      </c>
    </row>
    <row r="4" spans="1:7">
      <c r="A4" s="18">
        <v>2</v>
      </c>
      <c r="B4" s="20" t="s">
        <v>185</v>
      </c>
      <c r="C4" s="20" t="s">
        <v>88</v>
      </c>
      <c r="D4" s="20" t="s">
        <v>5</v>
      </c>
      <c r="E4" s="23">
        <v>45900</v>
      </c>
      <c r="F4" s="20" t="s">
        <v>3</v>
      </c>
      <c r="G4" s="21" t="s">
        <v>3</v>
      </c>
    </row>
    <row r="5" spans="1:7">
      <c r="A5" s="18">
        <v>3</v>
      </c>
      <c r="B5" s="20" t="s">
        <v>229</v>
      </c>
      <c r="C5" s="20" t="s">
        <v>88</v>
      </c>
      <c r="D5" s="20" t="s">
        <v>174</v>
      </c>
      <c r="E5" s="23">
        <v>45900</v>
      </c>
      <c r="F5" s="20" t="s">
        <v>3</v>
      </c>
      <c r="G5" s="20" t="s">
        <v>3</v>
      </c>
    </row>
    <row r="6" spans="1:7">
      <c r="A6" s="18">
        <v>4</v>
      </c>
      <c r="B6" s="20" t="s">
        <v>219</v>
      </c>
      <c r="C6" s="20" t="s">
        <v>88</v>
      </c>
      <c r="D6" s="20" t="s">
        <v>174</v>
      </c>
      <c r="E6" s="23">
        <v>45900</v>
      </c>
      <c r="F6" s="20" t="s">
        <v>3</v>
      </c>
      <c r="G6" s="20" t="s">
        <v>3</v>
      </c>
    </row>
    <row r="7" spans="1:7">
      <c r="A7" s="18">
        <v>5</v>
      </c>
      <c r="B7" s="20" t="s">
        <v>173</v>
      </c>
      <c r="C7" s="20" t="s">
        <v>88</v>
      </c>
      <c r="D7" s="20" t="s">
        <v>174</v>
      </c>
      <c r="E7" s="23">
        <v>45900</v>
      </c>
      <c r="F7" s="20" t="s">
        <v>3</v>
      </c>
      <c r="G7" s="20" t="s">
        <v>3</v>
      </c>
    </row>
    <row r="8" spans="1:7">
      <c r="A8" s="18">
        <v>6</v>
      </c>
      <c r="B8" s="20" t="s">
        <v>200</v>
      </c>
      <c r="C8" s="20" t="s">
        <v>88</v>
      </c>
      <c r="D8" s="20" t="s">
        <v>174</v>
      </c>
      <c r="E8" s="23">
        <v>45900</v>
      </c>
      <c r="F8" s="20" t="s">
        <v>3</v>
      </c>
      <c r="G8" s="20" t="s">
        <v>3</v>
      </c>
    </row>
    <row r="9" spans="1:7">
      <c r="A9" s="18">
        <v>7</v>
      </c>
      <c r="B9" s="20" t="s">
        <v>201</v>
      </c>
      <c r="C9" s="20" t="s">
        <v>88</v>
      </c>
      <c r="D9" s="20" t="s">
        <v>47</v>
      </c>
      <c r="E9" s="23">
        <v>45830</v>
      </c>
      <c r="F9" s="20" t="s">
        <v>0</v>
      </c>
      <c r="G9" s="20" t="s">
        <v>0</v>
      </c>
    </row>
    <row r="10" spans="1:7">
      <c r="A10" s="18">
        <v>8</v>
      </c>
      <c r="B10" s="20" t="s">
        <v>203</v>
      </c>
      <c r="C10" s="20" t="s">
        <v>88</v>
      </c>
      <c r="D10" s="20" t="s">
        <v>47</v>
      </c>
      <c r="E10" s="23">
        <v>45743</v>
      </c>
      <c r="F10" s="20" t="s">
        <v>0</v>
      </c>
      <c r="G10" s="20" t="s">
        <v>0</v>
      </c>
    </row>
    <row r="11" spans="1:7">
      <c r="A11" s="18">
        <v>9</v>
      </c>
      <c r="B11" s="20" t="s">
        <v>204</v>
      </c>
      <c r="C11" s="20" t="s">
        <v>88</v>
      </c>
      <c r="D11" s="20" t="s">
        <v>205</v>
      </c>
      <c r="E11" s="23">
        <v>45800</v>
      </c>
      <c r="F11" s="20" t="s">
        <v>0</v>
      </c>
      <c r="G11" s="20" t="s">
        <v>0</v>
      </c>
    </row>
    <row r="12" spans="1:7">
      <c r="A12" s="18">
        <v>10</v>
      </c>
      <c r="B12" s="20" t="s">
        <v>228</v>
      </c>
      <c r="C12" s="20" t="s">
        <v>88</v>
      </c>
      <c r="D12" s="20" t="s">
        <v>47</v>
      </c>
      <c r="E12" s="23">
        <v>45762</v>
      </c>
      <c r="F12" s="20" t="s">
        <v>0</v>
      </c>
      <c r="G12" s="20" t="s">
        <v>0</v>
      </c>
    </row>
    <row r="13" spans="1:7">
      <c r="A13" s="18">
        <v>11</v>
      </c>
      <c r="B13" s="20" t="s">
        <v>236</v>
      </c>
      <c r="C13" s="20" t="s">
        <v>88</v>
      </c>
      <c r="D13" s="20" t="s">
        <v>45</v>
      </c>
      <c r="E13" s="23">
        <v>45900</v>
      </c>
      <c r="F13" s="20" t="s">
        <v>3</v>
      </c>
      <c r="G13" s="20" t="s">
        <v>3</v>
      </c>
    </row>
    <row r="14" spans="1:7">
      <c r="A14" s="18">
        <v>12</v>
      </c>
      <c r="B14" s="20" t="s">
        <v>180</v>
      </c>
      <c r="C14" s="20" t="s">
        <v>88</v>
      </c>
      <c r="D14" s="20" t="s">
        <v>45</v>
      </c>
      <c r="E14" s="23">
        <v>45822</v>
      </c>
      <c r="F14" s="20" t="s">
        <v>0</v>
      </c>
      <c r="G14" s="20" t="s">
        <v>0</v>
      </c>
    </row>
    <row r="15" spans="1:7">
      <c r="A15" s="18">
        <v>13</v>
      </c>
      <c r="B15" s="20" t="s">
        <v>194</v>
      </c>
      <c r="C15" s="20" t="s">
        <v>88</v>
      </c>
      <c r="D15" s="20" t="s">
        <v>45</v>
      </c>
      <c r="E15" s="23">
        <v>45900</v>
      </c>
      <c r="F15" s="20" t="s">
        <v>3</v>
      </c>
      <c r="G15" s="20" t="s">
        <v>3</v>
      </c>
    </row>
    <row r="16" spans="1:7">
      <c r="A16" s="18">
        <v>14</v>
      </c>
      <c r="B16" s="22" t="s">
        <v>230</v>
      </c>
      <c r="C16" s="22" t="s">
        <v>88</v>
      </c>
      <c r="D16" s="22" t="s">
        <v>65</v>
      </c>
      <c r="E16" s="23">
        <v>45900</v>
      </c>
      <c r="F16" s="22" t="s">
        <v>3</v>
      </c>
      <c r="G16" s="22" t="s">
        <v>3</v>
      </c>
    </row>
    <row r="17" spans="1:7">
      <c r="A17" s="18">
        <v>15</v>
      </c>
      <c r="B17" s="20" t="s">
        <v>193</v>
      </c>
      <c r="C17" s="20" t="s">
        <v>88</v>
      </c>
      <c r="D17" s="20" t="s">
        <v>65</v>
      </c>
      <c r="E17" s="23">
        <v>45895</v>
      </c>
      <c r="F17" s="20" t="s">
        <v>0</v>
      </c>
      <c r="G17" s="20" t="s">
        <v>0</v>
      </c>
    </row>
    <row r="18" spans="1:7">
      <c r="A18" s="18">
        <v>16</v>
      </c>
      <c r="B18" s="20" t="s">
        <v>186</v>
      </c>
      <c r="C18" s="20" t="s">
        <v>88</v>
      </c>
      <c r="D18" s="20" t="s">
        <v>4</v>
      </c>
      <c r="E18" s="23">
        <v>45900</v>
      </c>
      <c r="F18" s="20" t="s">
        <v>3</v>
      </c>
      <c r="G18" s="20" t="s">
        <v>3</v>
      </c>
    </row>
    <row r="19" spans="1:7">
      <c r="A19" s="18">
        <v>17</v>
      </c>
      <c r="B19" s="20" t="s">
        <v>165</v>
      </c>
      <c r="C19" s="20" t="s">
        <v>88</v>
      </c>
      <c r="D19" s="20" t="s">
        <v>4</v>
      </c>
      <c r="E19" s="23">
        <v>45798</v>
      </c>
      <c r="F19" s="20" t="s">
        <v>0</v>
      </c>
      <c r="G19" s="20" t="s">
        <v>0</v>
      </c>
    </row>
    <row r="20" spans="1:7">
      <c r="A20" s="18">
        <v>18</v>
      </c>
      <c r="B20" s="20" t="s">
        <v>157</v>
      </c>
      <c r="C20" s="20" t="s">
        <v>89</v>
      </c>
      <c r="D20" s="20" t="s">
        <v>5</v>
      </c>
      <c r="E20" s="23">
        <v>45870</v>
      </c>
      <c r="F20" s="20" t="s">
        <v>3</v>
      </c>
      <c r="G20" s="20" t="s">
        <v>3</v>
      </c>
    </row>
    <row r="21" spans="1:7">
      <c r="A21" s="52" t="s">
        <v>88</v>
      </c>
      <c r="B21" s="53"/>
      <c r="C21" s="53"/>
      <c r="D21" s="54"/>
      <c r="E21" s="23"/>
      <c r="F21">
        <f>COUNTIF(F3:F19,"YES")</f>
        <v>9</v>
      </c>
      <c r="G21">
        <f>COUNTIF(G3:G19,"YES")</f>
        <v>9</v>
      </c>
    </row>
    <row r="22" spans="1:7">
      <c r="A22" s="52" t="s">
        <v>88</v>
      </c>
      <c r="B22" s="53"/>
      <c r="C22" s="53"/>
      <c r="D22" s="54"/>
      <c r="E22" s="20"/>
      <c r="F22" s="10">
        <f>F21/17</f>
        <v>0.52941176470588236</v>
      </c>
      <c r="G22" s="10">
        <f>G21/17</f>
        <v>0.52941176470588236</v>
      </c>
    </row>
    <row r="23" spans="1:7">
      <c r="A23" s="18">
        <v>1</v>
      </c>
      <c r="B23" s="20" t="s">
        <v>208</v>
      </c>
      <c r="C23" s="20" t="s">
        <v>89</v>
      </c>
      <c r="D23" s="20" t="s">
        <v>209</v>
      </c>
      <c r="E23" s="23">
        <v>45754</v>
      </c>
      <c r="F23" s="20" t="s">
        <v>0</v>
      </c>
      <c r="G23" s="20" t="s">
        <v>0</v>
      </c>
    </row>
    <row r="24" spans="1:7">
      <c r="A24" s="18">
        <v>2</v>
      </c>
      <c r="B24" s="25" t="s">
        <v>235</v>
      </c>
      <c r="C24" s="20" t="s">
        <v>89</v>
      </c>
      <c r="D24" s="20" t="s">
        <v>209</v>
      </c>
      <c r="E24" s="20"/>
      <c r="F24" s="20"/>
      <c r="G24" s="20"/>
    </row>
    <row r="25" spans="1:7">
      <c r="A25" s="18">
        <v>3</v>
      </c>
      <c r="B25" s="20" t="s">
        <v>166</v>
      </c>
      <c r="C25" s="20" t="s">
        <v>89</v>
      </c>
      <c r="D25" s="20" t="s">
        <v>29</v>
      </c>
      <c r="E25" s="23">
        <v>45751</v>
      </c>
      <c r="F25" s="20" t="s">
        <v>0</v>
      </c>
      <c r="G25" s="20" t="s">
        <v>0</v>
      </c>
    </row>
    <row r="26" spans="1:7">
      <c r="A26" s="18">
        <v>4</v>
      </c>
      <c r="B26" s="20" t="s">
        <v>214</v>
      </c>
      <c r="C26" s="20" t="s">
        <v>89</v>
      </c>
      <c r="D26" s="20" t="s">
        <v>29</v>
      </c>
      <c r="E26" s="23">
        <v>45900</v>
      </c>
      <c r="F26" s="20" t="s">
        <v>3</v>
      </c>
      <c r="G26" s="20" t="s">
        <v>3</v>
      </c>
    </row>
    <row r="27" spans="1:7">
      <c r="A27" s="18">
        <v>5</v>
      </c>
      <c r="B27" s="20" t="s">
        <v>177</v>
      </c>
      <c r="C27" s="20" t="s">
        <v>89</v>
      </c>
      <c r="D27" s="20" t="s">
        <v>29</v>
      </c>
      <c r="E27" s="23">
        <v>45707</v>
      </c>
      <c r="F27" s="20" t="s">
        <v>0</v>
      </c>
      <c r="G27" s="20" t="s">
        <v>0</v>
      </c>
    </row>
    <row r="28" spans="1:7">
      <c r="A28" s="18">
        <v>6</v>
      </c>
      <c r="B28" s="20" t="s">
        <v>175</v>
      </c>
      <c r="C28" s="20" t="s">
        <v>89</v>
      </c>
      <c r="D28" s="20" t="s">
        <v>2</v>
      </c>
      <c r="E28" s="23">
        <v>45900</v>
      </c>
      <c r="F28" s="20" t="s">
        <v>3</v>
      </c>
      <c r="G28" s="20" t="s">
        <v>3</v>
      </c>
    </row>
    <row r="29" spans="1:7">
      <c r="A29" s="18">
        <v>7</v>
      </c>
      <c r="B29" s="20" t="s">
        <v>199</v>
      </c>
      <c r="C29" s="20" t="s">
        <v>89</v>
      </c>
      <c r="D29" s="20" t="s">
        <v>2</v>
      </c>
      <c r="E29" s="23">
        <v>45900</v>
      </c>
      <c r="F29" s="20" t="s">
        <v>3</v>
      </c>
      <c r="G29" s="20" t="s">
        <v>3</v>
      </c>
    </row>
    <row r="30" spans="1:7">
      <c r="A30" s="52" t="s">
        <v>89</v>
      </c>
      <c r="B30" s="53"/>
      <c r="C30" s="53"/>
      <c r="D30" s="54"/>
      <c r="F30">
        <f>COUNTIF(F23:F29,"YES")</f>
        <v>3</v>
      </c>
      <c r="G30">
        <f>COUNTIF(G23:G29,"YES")</f>
        <v>3</v>
      </c>
    </row>
    <row r="31" spans="1:7">
      <c r="A31" s="52" t="s">
        <v>89</v>
      </c>
      <c r="B31" s="53"/>
      <c r="C31" s="53"/>
      <c r="D31" s="54"/>
      <c r="F31" s="10">
        <f>F30/8</f>
        <v>0.375</v>
      </c>
      <c r="G31" s="10">
        <f>G30/8</f>
        <v>0.375</v>
      </c>
    </row>
    <row r="32" spans="1:7">
      <c r="A32" s="18">
        <v>1</v>
      </c>
      <c r="B32" s="20" t="s">
        <v>231</v>
      </c>
      <c r="C32" s="20" t="s">
        <v>87</v>
      </c>
      <c r="D32" s="20" t="s">
        <v>232</v>
      </c>
      <c r="E32" s="23">
        <v>45900</v>
      </c>
      <c r="F32" s="20" t="s">
        <v>3</v>
      </c>
      <c r="G32" s="20" t="s">
        <v>3</v>
      </c>
    </row>
    <row r="33" spans="1:7">
      <c r="A33" s="18">
        <v>2</v>
      </c>
      <c r="B33" s="20" t="s">
        <v>83</v>
      </c>
      <c r="C33" s="20" t="s">
        <v>87</v>
      </c>
      <c r="D33" s="20" t="s">
        <v>190</v>
      </c>
      <c r="E33" s="23">
        <v>45900</v>
      </c>
      <c r="F33" s="20" t="s">
        <v>3</v>
      </c>
      <c r="G33" s="20" t="s">
        <v>3</v>
      </c>
    </row>
    <row r="34" spans="1:7">
      <c r="A34" s="18">
        <v>3</v>
      </c>
      <c r="B34" s="20" t="s">
        <v>191</v>
      </c>
      <c r="C34" s="20" t="s">
        <v>87</v>
      </c>
      <c r="D34" s="20" t="s">
        <v>190</v>
      </c>
      <c r="E34" s="23">
        <v>45900</v>
      </c>
      <c r="F34" s="20" t="s">
        <v>3</v>
      </c>
      <c r="G34" s="20" t="s">
        <v>3</v>
      </c>
    </row>
    <row r="35" spans="1:7">
      <c r="A35" s="18">
        <v>4</v>
      </c>
      <c r="B35" s="20" t="s">
        <v>217</v>
      </c>
      <c r="C35" s="20" t="s">
        <v>87</v>
      </c>
      <c r="D35" s="20" t="s">
        <v>190</v>
      </c>
      <c r="E35" s="23">
        <v>45773</v>
      </c>
      <c r="F35" s="20" t="s">
        <v>0</v>
      </c>
      <c r="G35" s="20" t="s">
        <v>0</v>
      </c>
    </row>
    <row r="36" spans="1:7">
      <c r="A36" s="18">
        <v>5</v>
      </c>
      <c r="B36" s="20" t="s">
        <v>233</v>
      </c>
      <c r="C36" s="20" t="s">
        <v>87</v>
      </c>
      <c r="D36" s="20" t="s">
        <v>190</v>
      </c>
      <c r="E36" s="23">
        <v>45896</v>
      </c>
      <c r="F36" s="20" t="s">
        <v>3</v>
      </c>
      <c r="G36" s="20" t="s">
        <v>0</v>
      </c>
    </row>
    <row r="37" spans="1:7">
      <c r="A37" s="18">
        <v>6</v>
      </c>
      <c r="B37" s="20" t="s">
        <v>21</v>
      </c>
      <c r="C37" s="20" t="s">
        <v>87</v>
      </c>
      <c r="D37" s="20" t="s">
        <v>206</v>
      </c>
      <c r="E37" s="23">
        <v>45830</v>
      </c>
      <c r="F37" s="20" t="s">
        <v>0</v>
      </c>
      <c r="G37" s="20" t="s">
        <v>0</v>
      </c>
    </row>
    <row r="38" spans="1:7">
      <c r="A38" s="18">
        <v>8</v>
      </c>
      <c r="B38" s="20" t="s">
        <v>195</v>
      </c>
      <c r="C38" s="20" t="s">
        <v>87</v>
      </c>
      <c r="D38" s="20" t="s">
        <v>196</v>
      </c>
      <c r="E38" s="23">
        <v>45823</v>
      </c>
      <c r="F38" s="20" t="s">
        <v>0</v>
      </c>
      <c r="G38" s="20" t="s">
        <v>0</v>
      </c>
    </row>
    <row r="39" spans="1:7">
      <c r="A39" s="18">
        <v>10</v>
      </c>
      <c r="B39" s="20" t="s">
        <v>160</v>
      </c>
      <c r="C39" s="20" t="s">
        <v>87</v>
      </c>
      <c r="D39" s="20" t="s">
        <v>67</v>
      </c>
      <c r="E39" s="23">
        <v>45888</v>
      </c>
      <c r="F39" s="20" t="s">
        <v>0</v>
      </c>
      <c r="G39" s="20" t="s">
        <v>0</v>
      </c>
    </row>
    <row r="40" spans="1:7">
      <c r="A40" s="18">
        <v>11</v>
      </c>
      <c r="B40" s="20" t="s">
        <v>158</v>
      </c>
      <c r="C40" s="20" t="s">
        <v>87</v>
      </c>
      <c r="D40" s="20" t="s">
        <v>67</v>
      </c>
      <c r="E40" s="23">
        <v>45900</v>
      </c>
      <c r="F40" s="20" t="s">
        <v>3</v>
      </c>
      <c r="G40" s="20" t="s">
        <v>3</v>
      </c>
    </row>
    <row r="41" spans="1:7">
      <c r="A41" s="18">
        <v>12</v>
      </c>
      <c r="B41" s="20" t="s">
        <v>163</v>
      </c>
      <c r="C41" s="20" t="s">
        <v>87</v>
      </c>
      <c r="D41" s="20" t="s">
        <v>67</v>
      </c>
      <c r="E41" s="23">
        <v>45900</v>
      </c>
      <c r="F41" s="20" t="s">
        <v>3</v>
      </c>
      <c r="G41" s="20" t="s">
        <v>3</v>
      </c>
    </row>
    <row r="42" spans="1:7">
      <c r="A42" s="18">
        <v>13</v>
      </c>
      <c r="B42" s="20" t="s">
        <v>234</v>
      </c>
      <c r="C42" s="20" t="s">
        <v>87</v>
      </c>
      <c r="D42" s="20" t="s">
        <v>67</v>
      </c>
      <c r="E42" s="23">
        <v>45900</v>
      </c>
      <c r="F42" s="20" t="s">
        <v>3</v>
      </c>
      <c r="G42" s="20" t="s">
        <v>3</v>
      </c>
    </row>
    <row r="43" spans="1:7">
      <c r="A43" s="52" t="s">
        <v>87</v>
      </c>
      <c r="B43" s="53"/>
      <c r="C43" s="53"/>
      <c r="D43" s="54"/>
      <c r="E43" s="23"/>
      <c r="F43">
        <f>COUNTIF(F32:F42,"YES")</f>
        <v>7</v>
      </c>
      <c r="G43">
        <f>COUNTIF(G32:G42,"YES")</f>
        <v>6</v>
      </c>
    </row>
    <row r="44" spans="1:7">
      <c r="A44" s="52" t="s">
        <v>87</v>
      </c>
      <c r="B44" s="53"/>
      <c r="C44" s="53"/>
      <c r="D44" s="54"/>
      <c r="E44" s="20"/>
      <c r="F44" s="10">
        <f>F43/13</f>
        <v>0.53846153846153844</v>
      </c>
      <c r="G44" s="10">
        <f>G43/13</f>
        <v>0.46153846153846156</v>
      </c>
    </row>
    <row r="45" spans="1:7">
      <c r="A45" s="18">
        <v>1</v>
      </c>
      <c r="B45" s="20" t="s">
        <v>167</v>
      </c>
      <c r="C45" s="20" t="s">
        <v>146</v>
      </c>
      <c r="D45" s="20" t="s">
        <v>156</v>
      </c>
      <c r="E45" s="23">
        <v>45900</v>
      </c>
      <c r="F45" s="20" t="s">
        <v>3</v>
      </c>
      <c r="G45" s="20" t="s">
        <v>3</v>
      </c>
    </row>
    <row r="46" spans="1:7">
      <c r="A46" s="18">
        <v>2</v>
      </c>
      <c r="B46" s="20" t="s">
        <v>215</v>
      </c>
      <c r="C46" s="20" t="s">
        <v>146</v>
      </c>
      <c r="D46" s="20" t="s">
        <v>156</v>
      </c>
      <c r="E46" s="23">
        <v>45728</v>
      </c>
      <c r="F46" s="20" t="s">
        <v>0</v>
      </c>
      <c r="G46" s="20" t="s">
        <v>0</v>
      </c>
    </row>
    <row r="47" spans="1:7">
      <c r="A47" s="18">
        <v>7</v>
      </c>
      <c r="B47" s="20" t="s">
        <v>155</v>
      </c>
      <c r="C47" s="20" t="s">
        <v>146</v>
      </c>
      <c r="D47" s="20" t="s">
        <v>156</v>
      </c>
      <c r="E47" s="23">
        <v>45782</v>
      </c>
      <c r="F47" s="20" t="s">
        <v>0</v>
      </c>
      <c r="G47" s="20" t="s">
        <v>0</v>
      </c>
    </row>
    <row r="48" spans="1:7">
      <c r="A48" s="18">
        <v>3</v>
      </c>
      <c r="B48" s="20" t="s">
        <v>176</v>
      </c>
      <c r="C48" s="20" t="s">
        <v>146</v>
      </c>
      <c r="D48" s="20" t="s">
        <v>18</v>
      </c>
      <c r="E48" s="23">
        <v>45900</v>
      </c>
      <c r="F48" s="20" t="s">
        <v>3</v>
      </c>
      <c r="G48" s="20" t="s">
        <v>3</v>
      </c>
    </row>
    <row r="49" spans="1:7">
      <c r="A49" s="18">
        <v>4</v>
      </c>
      <c r="B49" s="20" t="s">
        <v>220</v>
      </c>
      <c r="C49" s="20" t="s">
        <v>146</v>
      </c>
      <c r="D49" s="20" t="s">
        <v>18</v>
      </c>
      <c r="E49" s="23">
        <v>45900</v>
      </c>
      <c r="F49" s="20" t="s">
        <v>3</v>
      </c>
      <c r="G49" s="20" t="s">
        <v>3</v>
      </c>
    </row>
    <row r="50" spans="1:7">
      <c r="A50" s="18">
        <v>5</v>
      </c>
      <c r="B50" s="20" t="s">
        <v>226</v>
      </c>
      <c r="C50" s="20" t="s">
        <v>146</v>
      </c>
      <c r="D50" s="20" t="s">
        <v>18</v>
      </c>
      <c r="E50" s="23">
        <v>45739</v>
      </c>
      <c r="F50" s="20" t="s">
        <v>0</v>
      </c>
      <c r="G50" s="20" t="s">
        <v>0</v>
      </c>
    </row>
    <row r="51" spans="1:7">
      <c r="A51" s="18">
        <v>6</v>
      </c>
      <c r="B51" s="20" t="s">
        <v>164</v>
      </c>
      <c r="C51" s="20" t="s">
        <v>146</v>
      </c>
      <c r="D51" s="20" t="s">
        <v>18</v>
      </c>
      <c r="E51" s="23">
        <v>45900</v>
      </c>
      <c r="F51" s="20" t="s">
        <v>3</v>
      </c>
      <c r="G51" s="20" t="s">
        <v>3</v>
      </c>
    </row>
    <row r="52" spans="1:7">
      <c r="A52" s="18">
        <v>7</v>
      </c>
      <c r="B52" s="20" t="s">
        <v>188</v>
      </c>
      <c r="C52" s="20" t="s">
        <v>146</v>
      </c>
      <c r="D52" s="20" t="s">
        <v>189</v>
      </c>
      <c r="E52" s="23">
        <v>45900</v>
      </c>
      <c r="F52" s="20" t="s">
        <v>3</v>
      </c>
      <c r="G52" s="20" t="s">
        <v>3</v>
      </c>
    </row>
    <row r="53" spans="1:7">
      <c r="A53" s="18">
        <v>8</v>
      </c>
      <c r="B53" s="20" t="s">
        <v>181</v>
      </c>
      <c r="C53" s="20" t="s">
        <v>146</v>
      </c>
      <c r="D53" s="20" t="s">
        <v>182</v>
      </c>
      <c r="E53" s="23">
        <v>45728</v>
      </c>
      <c r="F53" s="20" t="s">
        <v>0</v>
      </c>
      <c r="G53" s="20" t="s">
        <v>0</v>
      </c>
    </row>
    <row r="54" spans="1:7">
      <c r="A54" s="18">
        <v>9</v>
      </c>
      <c r="B54" s="20" t="s">
        <v>202</v>
      </c>
      <c r="C54" s="20" t="s">
        <v>146</v>
      </c>
      <c r="D54" s="20" t="s">
        <v>182</v>
      </c>
      <c r="E54" s="23">
        <v>45900</v>
      </c>
      <c r="F54" s="20" t="s">
        <v>3</v>
      </c>
      <c r="G54" s="20" t="s">
        <v>3</v>
      </c>
    </row>
    <row r="55" spans="1:7">
      <c r="A55" s="18">
        <v>10</v>
      </c>
      <c r="B55" s="20" t="s">
        <v>187</v>
      </c>
      <c r="C55" s="20" t="s">
        <v>146</v>
      </c>
      <c r="D55" s="20" t="s">
        <v>171</v>
      </c>
      <c r="E55" s="23">
        <v>45900</v>
      </c>
      <c r="F55" s="20" t="s">
        <v>3</v>
      </c>
      <c r="G55" s="20" t="s">
        <v>3</v>
      </c>
    </row>
    <row r="56" spans="1:7">
      <c r="A56" s="18">
        <v>11</v>
      </c>
      <c r="B56" s="20" t="s">
        <v>170</v>
      </c>
      <c r="C56" s="20" t="s">
        <v>146</v>
      </c>
      <c r="D56" s="20" t="s">
        <v>171</v>
      </c>
      <c r="E56" s="23">
        <v>45681</v>
      </c>
      <c r="F56" s="20" t="s">
        <v>0</v>
      </c>
      <c r="G56" s="20" t="s">
        <v>0</v>
      </c>
    </row>
    <row r="57" spans="1:7">
      <c r="A57" s="18">
        <v>12</v>
      </c>
      <c r="B57" s="21" t="s">
        <v>211</v>
      </c>
      <c r="C57" s="21" t="s">
        <v>146</v>
      </c>
      <c r="D57" s="21" t="s">
        <v>198</v>
      </c>
      <c r="E57" s="24">
        <v>45752</v>
      </c>
      <c r="F57" s="21" t="s">
        <v>0</v>
      </c>
      <c r="G57" s="21" t="s">
        <v>0</v>
      </c>
    </row>
    <row r="58" spans="1:7">
      <c r="A58" s="18">
        <v>9</v>
      </c>
      <c r="B58" s="20" t="s">
        <v>216</v>
      </c>
      <c r="C58" s="20" t="s">
        <v>146</v>
      </c>
      <c r="D58" s="20" t="s">
        <v>198</v>
      </c>
      <c r="E58" s="23">
        <v>45671</v>
      </c>
      <c r="F58" s="20" t="s">
        <v>0</v>
      </c>
      <c r="G58" s="20" t="s">
        <v>0</v>
      </c>
    </row>
    <row r="59" spans="1:7">
      <c r="A59" s="18">
        <v>13</v>
      </c>
      <c r="B59" s="20" t="s">
        <v>213</v>
      </c>
      <c r="C59" s="20" t="s">
        <v>146</v>
      </c>
      <c r="D59" s="20" t="s">
        <v>198</v>
      </c>
      <c r="E59" s="23">
        <v>45900</v>
      </c>
      <c r="F59" s="20" t="s">
        <v>3</v>
      </c>
      <c r="G59" s="20" t="s">
        <v>3</v>
      </c>
    </row>
    <row r="60" spans="1:7">
      <c r="A60" s="18">
        <v>14</v>
      </c>
      <c r="B60" s="20" t="s">
        <v>197</v>
      </c>
      <c r="C60" s="20" t="s">
        <v>146</v>
      </c>
      <c r="D60" s="20" t="s">
        <v>198</v>
      </c>
      <c r="E60" s="23">
        <v>45857</v>
      </c>
      <c r="F60" s="20" t="s">
        <v>3</v>
      </c>
      <c r="G60" s="20" t="s">
        <v>0</v>
      </c>
    </row>
    <row r="61" spans="1:7">
      <c r="A61" s="18">
        <v>15</v>
      </c>
      <c r="B61" s="20" t="s">
        <v>227</v>
      </c>
      <c r="C61" s="20" t="s">
        <v>146</v>
      </c>
      <c r="D61" s="20" t="s">
        <v>24</v>
      </c>
      <c r="E61" s="23">
        <v>45732</v>
      </c>
      <c r="F61" s="20" t="s">
        <v>0</v>
      </c>
      <c r="G61" s="20" t="s">
        <v>0</v>
      </c>
    </row>
    <row r="62" spans="1:7">
      <c r="A62" s="18">
        <v>16</v>
      </c>
      <c r="B62" s="20" t="s">
        <v>207</v>
      </c>
      <c r="C62" s="20" t="s">
        <v>146</v>
      </c>
      <c r="D62" s="20" t="s">
        <v>24</v>
      </c>
      <c r="E62" s="23">
        <v>45750</v>
      </c>
      <c r="F62" s="20" t="s">
        <v>0</v>
      </c>
      <c r="G62" s="20" t="s">
        <v>0</v>
      </c>
    </row>
    <row r="63" spans="1:7">
      <c r="A63" s="18">
        <v>17</v>
      </c>
      <c r="B63" s="20" t="s">
        <v>218</v>
      </c>
      <c r="C63" s="20" t="s">
        <v>146</v>
      </c>
      <c r="D63" s="20" t="s">
        <v>24</v>
      </c>
      <c r="E63" s="23">
        <v>45900</v>
      </c>
      <c r="F63" s="20" t="s">
        <v>3</v>
      </c>
      <c r="G63" s="20" t="s">
        <v>3</v>
      </c>
    </row>
    <row r="64" spans="1:7">
      <c r="A64" s="52" t="s">
        <v>85</v>
      </c>
      <c r="B64" s="53"/>
      <c r="C64" s="53"/>
      <c r="D64" s="54"/>
      <c r="E64" s="20"/>
      <c r="F64">
        <f>COUNTIF(F45:F63,"YES")</f>
        <v>10</v>
      </c>
      <c r="G64">
        <f>COUNTIF(G45:G63,"YES")</f>
        <v>9</v>
      </c>
    </row>
    <row r="65" spans="1:7">
      <c r="A65" s="52" t="s">
        <v>85</v>
      </c>
      <c r="B65" s="53"/>
      <c r="C65" s="53"/>
      <c r="D65" s="54"/>
      <c r="E65" s="20"/>
      <c r="F65" s="10">
        <f>F64/17</f>
        <v>0.58823529411764708</v>
      </c>
      <c r="G65" s="10">
        <f>G64/17</f>
        <v>0.52941176470588236</v>
      </c>
    </row>
    <row r="66" spans="1:7">
      <c r="A66" s="18">
        <v>1</v>
      </c>
      <c r="B66" s="20" t="s">
        <v>161</v>
      </c>
      <c r="C66" s="20" t="s">
        <v>86</v>
      </c>
      <c r="D66" s="20" t="s">
        <v>162</v>
      </c>
      <c r="E66" s="23">
        <v>45900</v>
      </c>
      <c r="F66" s="20" t="s">
        <v>3</v>
      </c>
      <c r="G66" s="20" t="s">
        <v>3</v>
      </c>
    </row>
    <row r="67" spans="1:7">
      <c r="A67" s="18">
        <v>2</v>
      </c>
      <c r="B67" s="20" t="s">
        <v>224</v>
      </c>
      <c r="C67" s="20" t="s">
        <v>86</v>
      </c>
      <c r="D67" s="20" t="s">
        <v>162</v>
      </c>
      <c r="E67" s="23">
        <v>45845</v>
      </c>
      <c r="F67" s="20" t="s">
        <v>0</v>
      </c>
      <c r="G67" s="20" t="s">
        <v>0</v>
      </c>
    </row>
    <row r="68" spans="1:7">
      <c r="A68" s="18">
        <v>3</v>
      </c>
      <c r="B68" s="20" t="s">
        <v>223</v>
      </c>
      <c r="C68" s="20" t="s">
        <v>86</v>
      </c>
      <c r="D68" s="20" t="s">
        <v>162</v>
      </c>
      <c r="E68" s="23">
        <v>45900</v>
      </c>
      <c r="F68" s="20" t="s">
        <v>3</v>
      </c>
      <c r="G68" s="20" t="s">
        <v>3</v>
      </c>
    </row>
    <row r="69" spans="1:7">
      <c r="A69" s="18">
        <v>4</v>
      </c>
      <c r="B69" s="20" t="s">
        <v>221</v>
      </c>
      <c r="C69" s="20" t="s">
        <v>86</v>
      </c>
      <c r="D69" s="20" t="s">
        <v>60</v>
      </c>
      <c r="E69" s="23">
        <v>45820</v>
      </c>
      <c r="F69" s="20" t="s">
        <v>0</v>
      </c>
      <c r="G69" s="20" t="s">
        <v>0</v>
      </c>
    </row>
    <row r="70" spans="1:7">
      <c r="A70" s="18">
        <v>5</v>
      </c>
      <c r="B70" s="20" t="s">
        <v>178</v>
      </c>
      <c r="C70" s="20" t="s">
        <v>86</v>
      </c>
      <c r="D70" s="20" t="s">
        <v>179</v>
      </c>
      <c r="E70" s="23">
        <v>45900</v>
      </c>
      <c r="F70" s="20" t="s">
        <v>3</v>
      </c>
      <c r="G70" s="20" t="s">
        <v>3</v>
      </c>
    </row>
    <row r="71" spans="1:7" ht="15">
      <c r="A71" s="18">
        <v>6</v>
      </c>
      <c r="B71" s="19" t="s">
        <v>151</v>
      </c>
      <c r="C71" s="19" t="s">
        <v>86</v>
      </c>
      <c r="D71" s="20" t="s">
        <v>152</v>
      </c>
      <c r="E71" s="23">
        <v>45833</v>
      </c>
      <c r="F71" s="20" t="s">
        <v>0</v>
      </c>
      <c r="G71" s="20" t="s">
        <v>0</v>
      </c>
    </row>
    <row r="72" spans="1:7">
      <c r="A72" s="18">
        <v>7</v>
      </c>
      <c r="B72" s="20" t="s">
        <v>153</v>
      </c>
      <c r="C72" s="20" t="s">
        <v>86</v>
      </c>
      <c r="D72" s="20" t="s">
        <v>154</v>
      </c>
      <c r="E72" s="29">
        <v>45634</v>
      </c>
      <c r="F72" s="20" t="s">
        <v>0</v>
      </c>
      <c r="G72" s="20" t="s">
        <v>0</v>
      </c>
    </row>
    <row r="73" spans="1:7">
      <c r="A73" s="18">
        <v>8</v>
      </c>
      <c r="B73" s="20" t="s">
        <v>222</v>
      </c>
      <c r="C73" s="20" t="s">
        <v>86</v>
      </c>
      <c r="D73" s="20" t="s">
        <v>154</v>
      </c>
      <c r="E73" s="23">
        <v>45900</v>
      </c>
      <c r="F73" s="20" t="s">
        <v>3</v>
      </c>
      <c r="G73" s="20" t="s">
        <v>3</v>
      </c>
    </row>
    <row r="74" spans="1:7">
      <c r="A74" s="18">
        <v>9</v>
      </c>
      <c r="B74" s="20" t="s">
        <v>159</v>
      </c>
      <c r="C74" s="20" t="s">
        <v>86</v>
      </c>
      <c r="D74" s="20" t="s">
        <v>154</v>
      </c>
      <c r="E74" s="23">
        <v>45900</v>
      </c>
      <c r="F74" s="20" t="s">
        <v>3</v>
      </c>
      <c r="G74" s="20" t="s">
        <v>3</v>
      </c>
    </row>
    <row r="75" spans="1:7">
      <c r="A75" s="18">
        <v>10</v>
      </c>
      <c r="B75" s="20" t="s">
        <v>192</v>
      </c>
      <c r="C75" s="20" t="s">
        <v>86</v>
      </c>
      <c r="D75" s="20" t="s">
        <v>154</v>
      </c>
      <c r="E75" s="23">
        <v>45900</v>
      </c>
      <c r="F75" s="20" t="s">
        <v>3</v>
      </c>
      <c r="G75" s="20" t="s">
        <v>3</v>
      </c>
    </row>
    <row r="76" spans="1:7">
      <c r="A76" s="18">
        <v>11</v>
      </c>
      <c r="B76" s="20" t="s">
        <v>183</v>
      </c>
      <c r="C76" s="20" t="s">
        <v>86</v>
      </c>
      <c r="D76" s="20" t="s">
        <v>184</v>
      </c>
      <c r="E76" s="29">
        <v>45608</v>
      </c>
      <c r="F76" s="20" t="s">
        <v>0</v>
      </c>
      <c r="G76" s="20" t="s">
        <v>0</v>
      </c>
    </row>
    <row r="77" spans="1:7">
      <c r="A77" s="18">
        <v>12</v>
      </c>
      <c r="B77" s="20" t="s">
        <v>212</v>
      </c>
      <c r="C77" s="20" t="s">
        <v>86</v>
      </c>
      <c r="D77" s="20" t="s">
        <v>184</v>
      </c>
      <c r="E77" s="23">
        <v>45755</v>
      </c>
      <c r="F77" s="20" t="s">
        <v>0</v>
      </c>
      <c r="G77" s="20" t="s">
        <v>0</v>
      </c>
    </row>
    <row r="78" spans="1:7">
      <c r="A78" s="18">
        <v>13</v>
      </c>
      <c r="B78" s="20" t="s">
        <v>225</v>
      </c>
      <c r="C78" s="20" t="s">
        <v>86</v>
      </c>
      <c r="D78" s="20" t="s">
        <v>184</v>
      </c>
      <c r="E78" s="23">
        <v>45670</v>
      </c>
      <c r="F78" s="20" t="s">
        <v>0</v>
      </c>
      <c r="G78" s="20" t="s">
        <v>0</v>
      </c>
    </row>
    <row r="79" spans="1:7">
      <c r="A79" s="18">
        <v>18</v>
      </c>
      <c r="B79" s="20" t="s">
        <v>210</v>
      </c>
      <c r="C79" s="20" t="s">
        <v>86</v>
      </c>
      <c r="D79" s="20" t="s">
        <v>169</v>
      </c>
      <c r="E79" s="23">
        <v>45900</v>
      </c>
      <c r="F79" s="20" t="s">
        <v>3</v>
      </c>
      <c r="G79" s="20" t="s">
        <v>3</v>
      </c>
    </row>
    <row r="80" spans="1:7">
      <c r="A80" s="18">
        <v>14</v>
      </c>
      <c r="B80" s="20" t="s">
        <v>172</v>
      </c>
      <c r="C80" s="20" t="s">
        <v>86</v>
      </c>
      <c r="D80" s="20" t="s">
        <v>169</v>
      </c>
      <c r="E80" s="23">
        <v>45900</v>
      </c>
      <c r="F80" s="20" t="s">
        <v>3</v>
      </c>
      <c r="G80" s="20" t="s">
        <v>3</v>
      </c>
    </row>
    <row r="81" spans="1:7">
      <c r="A81" s="18">
        <v>15</v>
      </c>
      <c r="B81" s="20" t="s">
        <v>168</v>
      </c>
      <c r="C81" s="20" t="s">
        <v>86</v>
      </c>
      <c r="D81" s="20" t="s">
        <v>169</v>
      </c>
      <c r="E81" s="23">
        <v>45857</v>
      </c>
      <c r="F81" s="20" t="s">
        <v>3</v>
      </c>
      <c r="G81" s="20" t="s">
        <v>0</v>
      </c>
    </row>
    <row r="82" spans="1:7">
      <c r="A82" s="32"/>
      <c r="B82" s="33" t="s">
        <v>86</v>
      </c>
      <c r="C82" s="33"/>
      <c r="D82" s="33"/>
      <c r="E82" s="34"/>
      <c r="F82">
        <f>COUNTIF(F66:F79,"YES")</f>
        <v>7</v>
      </c>
      <c r="G82">
        <f>COUNTIF(G66:G79,"YES")</f>
        <v>7</v>
      </c>
    </row>
    <row r="83" spans="1:7">
      <c r="A83" s="32"/>
      <c r="B83" s="33" t="s">
        <v>86</v>
      </c>
      <c r="C83" s="33"/>
      <c r="D83" s="33"/>
      <c r="E83" s="34"/>
      <c r="F83" s="10">
        <f>F82/15</f>
        <v>0.46666666666666667</v>
      </c>
      <c r="G83" s="10">
        <f>G82/15</f>
        <v>0.46666666666666667</v>
      </c>
    </row>
    <row r="84" spans="1:7">
      <c r="B84" t="s">
        <v>149</v>
      </c>
      <c r="F84">
        <f>COUNTIF(F3:F81,"YES")</f>
        <v>39</v>
      </c>
      <c r="G84">
        <f>COUNTIF(G3:G81,"YES")</f>
        <v>36</v>
      </c>
    </row>
    <row r="85" spans="1:7">
      <c r="B85" t="s">
        <v>261</v>
      </c>
      <c r="F85" s="10">
        <f>F84/70</f>
        <v>0.55714285714285716</v>
      </c>
      <c r="G85" s="10">
        <f>G84/70</f>
        <v>0.51428571428571423</v>
      </c>
    </row>
  </sheetData>
  <sortState ref="A1:L72">
    <sortCondition ref="C1:C72"/>
    <sortCondition ref="D1:D72"/>
  </sortState>
  <mergeCells count="9">
    <mergeCell ref="A65:D65"/>
    <mergeCell ref="A31:D31"/>
    <mergeCell ref="A43:D43"/>
    <mergeCell ref="A21:D21"/>
    <mergeCell ref="E1:G1"/>
    <mergeCell ref="A22:D22"/>
    <mergeCell ref="A30:D30"/>
    <mergeCell ref="A44:D44"/>
    <mergeCell ref="A64:D6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WEBMONITOR</vt:lpstr>
      <vt:lpstr>AWS_LIGHTINING</vt:lpstr>
      <vt:lpstr>AWS_LSI_METEO</vt:lpstr>
      <vt:lpstr>AWS_NAEB</vt:lpstr>
      <vt:lpstr>AUGUST_ARG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2020-01-28T08:21:00Z</dcterms:created>
  <dcterms:modified xsi:type="dcterms:W3CDTF">2025-09-01T14:53:16Z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1033-12.2.0.20326</vt:lpwstr>
  </property>
  <property fmtid="{D5CDD505-2E9C-101B-9397-08002B2CF9AE}" pid="3" name="ICV">
    <vt:lpwstr>1142D7375C2F4BC6B0BA43EB40BED5A4</vt:lpwstr>
  </property>
</Properties>
</file>