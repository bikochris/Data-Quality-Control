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ADocuments\Stations\AWS\REPORTING\JULY\"/>
    </mc:Choice>
  </mc:AlternateContent>
  <bookViews>
    <workbookView xWindow="-110" yWindow="-110" windowWidth="19420" windowHeight="11620" activeTab="5"/>
  </bookViews>
  <sheets>
    <sheet name="JULY-Webmonitor" sheetId="6" r:id="rId1"/>
    <sheet name="AWS_LIGHTINING" sheetId="10" r:id="rId2"/>
    <sheet name="AWS_LSI_METEO" sheetId="8" r:id="rId3"/>
    <sheet name="AWS_NAEB" sheetId="11" r:id="rId4"/>
    <sheet name="JULY_ARG" sheetId="7" r:id="rId5"/>
    <sheet name="01_AUGUST" sheetId="9" r:id="rId6"/>
  </sheets>
  <definedNames>
    <definedName name="_xlnm._FilterDatabase" localSheetId="1" hidden="1">AWS_LIGHTINING!$E$1:$E$12</definedName>
    <definedName name="_xlnm._FilterDatabase" localSheetId="2" hidden="1">AWS_LSI_METEO!$E$2:$E$24</definedName>
    <definedName name="_xlnm._FilterDatabase" localSheetId="3" hidden="1">AWS_NAEB!$E$1:$E$15</definedName>
    <definedName name="_xlnm._FilterDatabase" localSheetId="4" hidden="1">JULY_ARG!$F$1:$F$85</definedName>
    <definedName name="_xlnm._FilterDatabase" localSheetId="0" hidden="1">'JULY-Webmonitor'!$CW$3:$CW$63</definedName>
  </definedNames>
  <calcPr calcId="162913"/>
</workbook>
</file>

<file path=xl/calcChain.xml><?xml version="1.0" encoding="utf-8"?>
<calcChain xmlns="http://schemas.openxmlformats.org/spreadsheetml/2006/main">
  <c r="F5" i="9" l="1"/>
  <c r="G85" i="7" l="1"/>
  <c r="F85" i="7"/>
  <c r="F84" i="7"/>
  <c r="G20" i="7" l="1"/>
  <c r="G21" i="7" s="1"/>
  <c r="F20" i="7"/>
  <c r="F21" i="7" s="1"/>
  <c r="G43" i="7"/>
  <c r="F43" i="7"/>
  <c r="F44" i="7" s="1"/>
  <c r="G44" i="7"/>
  <c r="G30" i="7"/>
  <c r="G31" i="7" s="1"/>
  <c r="F30" i="7"/>
  <c r="F31" i="7" s="1"/>
  <c r="G64" i="7"/>
  <c r="G65" i="7" s="1"/>
  <c r="F64" i="7"/>
  <c r="F65" i="7" s="1"/>
  <c r="G82" i="7"/>
  <c r="G83" i="7" s="1"/>
  <c r="F82" i="7"/>
  <c r="F83" i="7" s="1"/>
  <c r="F14" i="11" l="1"/>
  <c r="F15" i="11" s="1"/>
  <c r="E14" i="11"/>
  <c r="E15" i="11" s="1"/>
  <c r="G84" i="7"/>
  <c r="F13" i="8"/>
  <c r="F14" i="8" s="1"/>
  <c r="E13" i="8"/>
  <c r="E14" i="8" s="1"/>
  <c r="CY5" i="6" l="1"/>
  <c r="CX5" i="6"/>
  <c r="F11" i="10"/>
  <c r="F12" i="10" s="1"/>
  <c r="E11" i="10"/>
  <c r="E12" i="10" s="1"/>
  <c r="CY3" i="6" l="1"/>
  <c r="CX3" i="6"/>
  <c r="E5" i="9" l="1"/>
  <c r="F3" i="9" s="1"/>
  <c r="E3" i="9" l="1"/>
  <c r="AM5" i="6"/>
  <c r="CV7" i="6"/>
  <c r="CV8" i="6"/>
  <c r="CV9" i="6"/>
  <c r="CV10" i="6"/>
  <c r="CV11" i="6"/>
  <c r="CV12" i="6"/>
  <c r="CV13" i="6"/>
  <c r="CV14" i="6"/>
  <c r="CV15" i="6"/>
  <c r="CV16" i="6"/>
  <c r="CV17" i="6"/>
  <c r="CV18" i="6"/>
  <c r="CV19" i="6"/>
  <c r="CV20" i="6"/>
  <c r="CV21" i="6"/>
  <c r="CV22" i="6"/>
  <c r="CV25" i="6"/>
  <c r="CV26" i="6"/>
  <c r="CV27" i="6"/>
  <c r="CV28" i="6"/>
  <c r="CV29" i="6"/>
  <c r="CV30" i="6"/>
  <c r="CV31" i="6"/>
  <c r="CV32" i="6"/>
  <c r="CV34" i="6"/>
  <c r="CV35" i="6"/>
  <c r="CV36" i="6"/>
  <c r="CV37" i="6"/>
  <c r="CV38" i="6"/>
  <c r="CV39" i="6"/>
  <c r="CV40" i="6"/>
  <c r="CV41" i="6"/>
  <c r="CV42" i="6"/>
  <c r="CV43" i="6"/>
  <c r="CV45" i="6"/>
  <c r="CV46" i="6"/>
  <c r="CV47" i="6"/>
  <c r="CV48" i="6"/>
  <c r="CV49" i="6"/>
  <c r="CV50" i="6"/>
  <c r="CV51" i="6"/>
  <c r="CV52" i="6"/>
  <c r="CV54" i="6"/>
  <c r="CV23" i="6"/>
  <c r="CV55" i="6"/>
  <c r="CV56" i="6"/>
  <c r="CV57" i="6"/>
  <c r="CV58" i="6"/>
  <c r="CV59" i="6"/>
  <c r="CV60" i="6"/>
  <c r="CV61" i="6"/>
  <c r="CV6" i="6"/>
  <c r="CT6" i="6"/>
  <c r="CT7" i="6"/>
  <c r="CT8" i="6"/>
  <c r="CT9" i="6"/>
  <c r="CT10" i="6"/>
  <c r="CT11" i="6"/>
  <c r="CT12" i="6"/>
  <c r="CT13" i="6"/>
  <c r="CT14" i="6"/>
  <c r="CT15" i="6"/>
  <c r="CT16" i="6"/>
  <c r="CT17" i="6"/>
  <c r="CT18" i="6"/>
  <c r="CT19" i="6"/>
  <c r="CT20" i="6"/>
  <c r="CT21" i="6"/>
  <c r="CT22" i="6"/>
  <c r="CT25" i="6"/>
  <c r="CT26" i="6"/>
  <c r="CT27" i="6"/>
  <c r="CT28" i="6"/>
  <c r="CT29" i="6"/>
  <c r="CT30" i="6"/>
  <c r="CT31" i="6"/>
  <c r="CT32" i="6"/>
  <c r="CT34" i="6"/>
  <c r="CT35" i="6"/>
  <c r="CT36" i="6"/>
  <c r="CT37" i="6"/>
  <c r="CT38" i="6"/>
  <c r="CT39" i="6"/>
  <c r="CT40" i="6"/>
  <c r="CT41" i="6"/>
  <c r="CT42" i="6"/>
  <c r="CT43" i="6"/>
  <c r="CT45" i="6"/>
  <c r="CT46" i="6"/>
  <c r="CT47" i="6"/>
  <c r="CT48" i="6"/>
  <c r="CT49" i="6"/>
  <c r="CT50" i="6"/>
  <c r="CT51" i="6"/>
  <c r="CT52" i="6"/>
  <c r="CT54" i="6"/>
  <c r="CT23" i="6"/>
  <c r="CT55" i="6"/>
  <c r="CT56" i="6"/>
  <c r="CT57" i="6"/>
  <c r="CT58" i="6"/>
  <c r="CT59" i="6"/>
  <c r="CT60" i="6"/>
  <c r="CT61" i="6"/>
  <c r="CR5" i="6"/>
  <c r="CQ5" i="6"/>
  <c r="CO5" i="6"/>
  <c r="CN5" i="6"/>
  <c r="CL5" i="6"/>
  <c r="CK5" i="6"/>
  <c r="CI5" i="6"/>
  <c r="CH5" i="6"/>
  <c r="CF5" i="6"/>
  <c r="CE5" i="6"/>
  <c r="CC5" i="6"/>
  <c r="CB5" i="6"/>
  <c r="BZ5" i="6"/>
  <c r="BY5" i="6"/>
  <c r="CE3" i="6" l="1"/>
  <c r="CK3" i="6"/>
  <c r="CW31" i="6"/>
  <c r="CF3" i="6"/>
  <c r="CU6" i="6"/>
  <c r="CU50" i="6"/>
  <c r="CW23" i="6"/>
  <c r="CW54" i="6"/>
  <c r="CW29" i="6"/>
  <c r="CW52" i="6"/>
  <c r="CW28" i="6"/>
  <c r="CW51" i="6"/>
  <c r="CW27" i="6"/>
  <c r="CQ3" i="6"/>
  <c r="CU37" i="6"/>
  <c r="CW50" i="6"/>
  <c r="CU52" i="6"/>
  <c r="CW26" i="6"/>
  <c r="CU51" i="6"/>
  <c r="CU12" i="6"/>
  <c r="CU11" i="6"/>
  <c r="CU10" i="6"/>
  <c r="CU34" i="6"/>
  <c r="CU32" i="6"/>
  <c r="CU31" i="6"/>
  <c r="CU29" i="6"/>
  <c r="CW6" i="6"/>
  <c r="CW43" i="6"/>
  <c r="CW18" i="6"/>
  <c r="CU36" i="6"/>
  <c r="CU9" i="6"/>
  <c r="CW55" i="6"/>
  <c r="CU28" i="6"/>
  <c r="CU27" i="6"/>
  <c r="CU42" i="6"/>
  <c r="CU17" i="6"/>
  <c r="CU35" i="6"/>
  <c r="CU7" i="6"/>
  <c r="CU41" i="6"/>
  <c r="CU16" i="6"/>
  <c r="CU40" i="6"/>
  <c r="CU15" i="6"/>
  <c r="CU54" i="6"/>
  <c r="CU49" i="6"/>
  <c r="CU39" i="6"/>
  <c r="CU14" i="6"/>
  <c r="CU23" i="6"/>
  <c r="CW21" i="6"/>
  <c r="CU61" i="6"/>
  <c r="CU38" i="6"/>
  <c r="CU13" i="6"/>
  <c r="CB3" i="6"/>
  <c r="CW60" i="6"/>
  <c r="CW37" i="6"/>
  <c r="CW12" i="6"/>
  <c r="CU26" i="6"/>
  <c r="CW59" i="6"/>
  <c r="CW36" i="6"/>
  <c r="CW11" i="6"/>
  <c r="CW22" i="6"/>
  <c r="CW58" i="6"/>
  <c r="CW35" i="6"/>
  <c r="CW10" i="6"/>
  <c r="CW30" i="6"/>
  <c r="CW48" i="6"/>
  <c r="CW57" i="6"/>
  <c r="CW34" i="6"/>
  <c r="CW9" i="6"/>
  <c r="CW25" i="6"/>
  <c r="CW56" i="6"/>
  <c r="CW32" i="6"/>
  <c r="CW8" i="6"/>
  <c r="CU30" i="6"/>
  <c r="CU55" i="6"/>
  <c r="CW7" i="6"/>
  <c r="CW49" i="6"/>
  <c r="CU60" i="6"/>
  <c r="CU59" i="6"/>
  <c r="CU58" i="6"/>
  <c r="CU25" i="6"/>
  <c r="CR3" i="6"/>
  <c r="CU48" i="6"/>
  <c r="CU57" i="6"/>
  <c r="CU22" i="6"/>
  <c r="CU56" i="6"/>
  <c r="CW47" i="6"/>
  <c r="CU21" i="6"/>
  <c r="CN3" i="6"/>
  <c r="CU46" i="6"/>
  <c r="CU20" i="6"/>
  <c r="CW45" i="6"/>
  <c r="CW19" i="6"/>
  <c r="CU8" i="6"/>
  <c r="CW17" i="6"/>
  <c r="CU45" i="6"/>
  <c r="CU19" i="6"/>
  <c r="CW61" i="6"/>
  <c r="CW38" i="6"/>
  <c r="CW13" i="6"/>
  <c r="CW42" i="6"/>
  <c r="CU47" i="6"/>
  <c r="CW40" i="6"/>
  <c r="CW14" i="6"/>
  <c r="CU43" i="6"/>
  <c r="CU18" i="6"/>
  <c r="CW46" i="6"/>
  <c r="CW41" i="6"/>
  <c r="CW16" i="6"/>
  <c r="CW20" i="6"/>
  <c r="CW15" i="6"/>
  <c r="CW39" i="6"/>
  <c r="CO3" i="6"/>
  <c r="CC3" i="6"/>
  <c r="CI3" i="6"/>
  <c r="CL3" i="6"/>
  <c r="CH3" i="6"/>
  <c r="BY3" i="6"/>
  <c r="BZ3" i="6"/>
  <c r="BW5" i="6"/>
  <c r="BV5" i="6"/>
  <c r="CW53" i="6" l="1"/>
  <c r="CW62" i="6"/>
  <c r="CU62" i="6"/>
  <c r="CU53" i="6"/>
  <c r="CW33" i="6"/>
  <c r="CW44" i="6" s="1"/>
  <c r="CU33" i="6"/>
  <c r="CU44" i="6" s="1"/>
  <c r="CW24" i="6"/>
  <c r="CU24" i="6"/>
  <c r="BV3" i="6"/>
  <c r="BW3" i="6"/>
  <c r="BT5" i="6"/>
  <c r="BS5" i="6"/>
  <c r="CU63" i="6" l="1"/>
  <c r="CW63" i="6"/>
  <c r="BT3" i="6"/>
  <c r="BS3" i="6"/>
  <c r="BQ5" i="6"/>
  <c r="BP5" i="6"/>
  <c r="BP3" i="6" l="1"/>
  <c r="BQ3" i="6"/>
  <c r="BN5" i="6"/>
  <c r="BM5" i="6"/>
  <c r="BM3" i="6" l="1"/>
  <c r="BN3" i="6"/>
  <c r="Q3" i="6"/>
  <c r="R3" i="6"/>
  <c r="T3" i="6"/>
  <c r="U3" i="6"/>
  <c r="W3" i="6"/>
  <c r="X3" i="6"/>
  <c r="O3" i="6"/>
  <c r="N3" i="6"/>
  <c r="L3" i="6"/>
  <c r="K3" i="6"/>
  <c r="BK5" i="6"/>
  <c r="BJ5" i="6"/>
  <c r="BJ3" i="6" s="1"/>
  <c r="BK3" i="6" l="1"/>
  <c r="BH5" i="6"/>
  <c r="BG5" i="6"/>
  <c r="BG3" i="6" l="1"/>
  <c r="BH3" i="6"/>
  <c r="BE5" i="6"/>
  <c r="BD5" i="6"/>
  <c r="BE3" i="6" l="1"/>
  <c r="BD3" i="6"/>
  <c r="BB5" i="6"/>
  <c r="BA5" i="6"/>
  <c r="BA3" i="6" l="1"/>
  <c r="BB3" i="6"/>
  <c r="AY5" i="6"/>
  <c r="AX5" i="6"/>
  <c r="AV5" i="6"/>
  <c r="AU5" i="6"/>
  <c r="AX3" i="6" l="1"/>
  <c r="AU3" i="6"/>
  <c r="AV3" i="6"/>
  <c r="AY3" i="6"/>
  <c r="AS5" i="6"/>
  <c r="AR5" i="6"/>
  <c r="AR3" i="6" l="1"/>
  <c r="AS3" i="6"/>
  <c r="AP5" i="6"/>
  <c r="AO5" i="6"/>
  <c r="AO3" i="6" l="1"/>
  <c r="AP3" i="6"/>
  <c r="AL5" i="6"/>
  <c r="AL3" i="6" l="1"/>
  <c r="AM3" i="6"/>
  <c r="AJ5" i="6"/>
  <c r="AI5" i="6"/>
  <c r="AI3" i="6" l="1"/>
  <c r="AJ3" i="6"/>
  <c r="AG5" i="6"/>
  <c r="AF5" i="6"/>
  <c r="AF3" i="6" l="1"/>
  <c r="AG3" i="6"/>
  <c r="AD5" i="6"/>
  <c r="AC5" i="6"/>
  <c r="AC3" i="6" l="1"/>
  <c r="AD3" i="6"/>
  <c r="AA5" i="6"/>
  <c r="Z5" i="6"/>
  <c r="AA3" i="6" l="1"/>
  <c r="Z3" i="6"/>
  <c r="H5" i="6"/>
  <c r="I5" i="6"/>
  <c r="I3" i="6" l="1"/>
  <c r="H3" i="6"/>
  <c r="F5" i="6"/>
  <c r="E5" i="6"/>
  <c r="F3" i="6" l="1"/>
  <c r="E3" i="6"/>
</calcChain>
</file>

<file path=xl/sharedStrings.xml><?xml version="1.0" encoding="utf-8"?>
<sst xmlns="http://schemas.openxmlformats.org/spreadsheetml/2006/main" count="2528" uniqueCount="359">
  <si>
    <t>NO</t>
  </si>
  <si>
    <t>GITEGA</t>
  </si>
  <si>
    <t>Nyarugenge</t>
  </si>
  <si>
    <t>YES</t>
  </si>
  <si>
    <t>Rwamagana</t>
  </si>
  <si>
    <t>Gatsibo</t>
  </si>
  <si>
    <t>GATENGA</t>
  </si>
  <si>
    <t>STATION</t>
  </si>
  <si>
    <t>DISTRICT</t>
  </si>
  <si>
    <t>AKAGERA NYUNGWE</t>
  </si>
  <si>
    <t xml:space="preserve">Nyagatare
</t>
  </si>
  <si>
    <t>AKAGERA RWISIRABO</t>
  </si>
  <si>
    <t xml:space="preserve">Kayonza
</t>
  </si>
  <si>
    <t>Bakokwe</t>
  </si>
  <si>
    <t xml:space="preserve">Muhanga
</t>
  </si>
  <si>
    <t>Bungwe</t>
  </si>
  <si>
    <t xml:space="preserve">Burera
</t>
  </si>
  <si>
    <t>Butare</t>
  </si>
  <si>
    <t>Huye</t>
  </si>
  <si>
    <t>Bweyeye</t>
  </si>
  <si>
    <t xml:space="preserve">Rusizi
</t>
  </si>
  <si>
    <t>Bwisige</t>
  </si>
  <si>
    <t xml:space="preserve">Gicumbi
</t>
  </si>
  <si>
    <t>Byimana</t>
  </si>
  <si>
    <t>Ruhango</t>
  </si>
  <si>
    <t>Cyeru</t>
  </si>
  <si>
    <t>Gabiro</t>
  </si>
  <si>
    <t>Gacurabwenge</t>
  </si>
  <si>
    <t>Kamonyi</t>
  </si>
  <si>
    <t>Kicukiro</t>
  </si>
  <si>
    <t>Gihinga</t>
  </si>
  <si>
    <t xml:space="preserve">Bugesera
</t>
  </si>
  <si>
    <t>GIKOMERO</t>
  </si>
  <si>
    <t xml:space="preserve">Gasabo
</t>
  </si>
  <si>
    <t>Gikongoro</t>
  </si>
  <si>
    <t xml:space="preserve">Nyamagabe
</t>
  </si>
  <si>
    <t>Gishyita</t>
  </si>
  <si>
    <t xml:space="preserve">Karongi
</t>
  </si>
  <si>
    <t>JALI</t>
  </si>
  <si>
    <t>Kabarore</t>
  </si>
  <si>
    <t>Kaduha</t>
  </si>
  <si>
    <t>Kamembe</t>
  </si>
  <si>
    <t>Kavumu</t>
  </si>
  <si>
    <t xml:space="preserve">Ngororero
</t>
  </si>
  <si>
    <t>Kawangire</t>
  </si>
  <si>
    <t>Ngoma</t>
  </si>
  <si>
    <t>Kenjobe</t>
  </si>
  <si>
    <t>Kirehe</t>
  </si>
  <si>
    <t xml:space="preserve">Kirehe
</t>
  </si>
  <si>
    <t>KIVUGIZA</t>
  </si>
  <si>
    <t>Mahama</t>
  </si>
  <si>
    <t>Mamba</t>
  </si>
  <si>
    <t xml:space="preserve">Gisagara
</t>
  </si>
  <si>
    <t>MATIMBA</t>
  </si>
  <si>
    <t>Mayange</t>
  </si>
  <si>
    <t>Mukarange</t>
  </si>
  <si>
    <t>Mulindi Tea</t>
  </si>
  <si>
    <t>Nasho_Mpanga</t>
  </si>
  <si>
    <t>Ndego</t>
  </si>
  <si>
    <t>NDUBA</t>
  </si>
  <si>
    <t>Ngororero</t>
  </si>
  <si>
    <t>Ntaruka</t>
  </si>
  <si>
    <t>Nyabimata</t>
  </si>
  <si>
    <t xml:space="preserve">Nyaruguru
</t>
  </si>
  <si>
    <t>NYABITIMBO</t>
  </si>
  <si>
    <t>Nyagatare</t>
  </si>
  <si>
    <t>Nyirangarama</t>
  </si>
  <si>
    <t>Rulindo</t>
  </si>
  <si>
    <t>Rubona</t>
  </si>
  <si>
    <t>RUBUNGO</t>
  </si>
  <si>
    <t>Rusasa</t>
  </si>
  <si>
    <t xml:space="preserve">Gakenke
</t>
  </si>
  <si>
    <t>RUSORORO</t>
  </si>
  <si>
    <t>RUSUMO POWER PLANT</t>
  </si>
  <si>
    <t>Rweru</t>
  </si>
  <si>
    <t>Tamira</t>
  </si>
  <si>
    <t xml:space="preserve">Rubavu
</t>
  </si>
  <si>
    <t>Wisumo</t>
  </si>
  <si>
    <t xml:space="preserve">Nyamasheke
</t>
  </si>
  <si>
    <t>Zaza</t>
  </si>
  <si>
    <t>Cyanika Border Market</t>
  </si>
  <si>
    <t>Comment</t>
  </si>
  <si>
    <t xml:space="preserve"> </t>
  </si>
  <si>
    <t>SERVER DOWN</t>
  </si>
  <si>
    <t>Cyumba</t>
  </si>
  <si>
    <t>07/13/2025</t>
  </si>
  <si>
    <t>07/14/2025</t>
  </si>
  <si>
    <t>07/16/2025</t>
  </si>
  <si>
    <t>07/17/2025</t>
  </si>
  <si>
    <t>07/18/2025</t>
  </si>
  <si>
    <t>07/19/2025</t>
  </si>
  <si>
    <t>07/20/2025</t>
  </si>
  <si>
    <t>07/21/2025</t>
  </si>
  <si>
    <t>07/22/2025</t>
  </si>
  <si>
    <t>07/23/2025</t>
  </si>
  <si>
    <t>07/24/2025</t>
  </si>
  <si>
    <t>07/25/2025</t>
  </si>
  <si>
    <t>07/26/2025</t>
  </si>
  <si>
    <t>07/27/2025</t>
  </si>
  <si>
    <t>07/28/2025</t>
  </si>
  <si>
    <t>07/29/2025</t>
  </si>
  <si>
    <t>07/30/2025</t>
  </si>
  <si>
    <t>07/31/2025</t>
  </si>
  <si>
    <t>PROVINCE</t>
  </si>
  <si>
    <t>SOUTH</t>
  </si>
  <si>
    <t>WEST</t>
  </si>
  <si>
    <t>NORTH</t>
  </si>
  <si>
    <t>EAST</t>
  </si>
  <si>
    <t>KIGALI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</si>
  <si>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</si>
  <si>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</si>
  <si>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</si>
  <si>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</si>
  <si>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</si>
  <si>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</si>
  <si>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</si>
  <si>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</si>
  <si>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</si>
  <si>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</si>
  <si>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</si>
  <si>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</si>
  <si>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</si>
  <si>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</si>
  <si>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</si>
  <si>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</si>
  <si>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</si>
  <si>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</si>
  <si>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</si>
  <si>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</si>
  <si>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</si>
  <si>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</si>
  <si>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</si>
  <si>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</si>
  <si>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</si>
  <si>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</si>
  <si>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</si>
  <si>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</si>
  <si>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</si>
  <si>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</si>
  <si>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</si>
  <si>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</si>
  <si>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</si>
  <si>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</si>
  <si>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</si>
  <si>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</si>
  <si>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</si>
  <si>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</si>
  <si>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</si>
  <si>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</si>
  <si>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</si>
  <si>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</si>
  <si>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</si>
  <si>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</si>
  <si>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</si>
  <si>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</si>
  <si>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</si>
  <si>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</si>
  <si>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</si>
  <si>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</si>
  <si>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</si>
  <si>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</si>
  <si>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Days</t>
  </si>
  <si>
    <t>Percent</t>
  </si>
  <si>
    <t>EASTERN PROVINCE</t>
  </si>
  <si>
    <t>KIGALI CITY</t>
  </si>
  <si>
    <t>SOURTH</t>
  </si>
  <si>
    <t>RWANDA</t>
  </si>
  <si>
    <t>NON_REPORTING</t>
  </si>
  <si>
    <t>REPORTING</t>
  </si>
  <si>
    <t>District</t>
  </si>
  <si>
    <t>Shangi Parish</t>
  </si>
  <si>
    <t>Nyamasheke</t>
  </si>
  <si>
    <t>Small solar panel (5W)</t>
  </si>
  <si>
    <t>To be replaced with a powerful one (50W) in Q1 of 2025/2026 FY</t>
  </si>
  <si>
    <t>Busasamana</t>
  </si>
  <si>
    <t>Rubavu</t>
  </si>
  <si>
    <t>A 17 Ah batteryis damaged</t>
  </si>
  <si>
    <t>A new battery will be procured and deployed in Q1 of 2025/2026</t>
  </si>
  <si>
    <t>Gisagara (District)</t>
  </si>
  <si>
    <t>Gisagara</t>
  </si>
  <si>
    <t>Not known</t>
  </si>
  <si>
    <t>Corrective maintenance in Q1 of 2025/2026</t>
  </si>
  <si>
    <t>Rwimbogo</t>
  </si>
  <si>
    <t>No issue</t>
  </si>
  <si>
    <t>Regular maintenance/Quaterly basis</t>
  </si>
  <si>
    <t>Kinihira</t>
  </si>
  <si>
    <t>Kanzenze</t>
  </si>
  <si>
    <t>Cyinzuzi</t>
  </si>
  <si>
    <t>Poor MTN internet connectivity</t>
  </si>
  <si>
    <t>Relocation to the best coverage in Q1 of 2025/2026 FY</t>
  </si>
  <si>
    <t>Bwishyura</t>
  </si>
  <si>
    <t>Karongi</t>
  </si>
  <si>
    <t>Rukozo</t>
  </si>
  <si>
    <t>Tumba</t>
  </si>
  <si>
    <t>Nzige</t>
  </si>
  <si>
    <t>21/05/2025</t>
  </si>
  <si>
    <t>Data logger is getting damaged</t>
  </si>
  <si>
    <t>To procure data logger and raio modem</t>
  </si>
  <si>
    <t>Gahanga</t>
  </si>
  <si>
    <t>Mukindo</t>
  </si>
  <si>
    <t>Data logger, radio modem and power equipment(solar panel, battery and voltage regulator)</t>
  </si>
  <si>
    <t>To procure the needed equipment</t>
  </si>
  <si>
    <t>Mushubati</t>
  </si>
  <si>
    <t>Rutsiro</t>
  </si>
  <si>
    <t>Ntyazo</t>
  </si>
  <si>
    <t>Nyanza</t>
  </si>
  <si>
    <t>24/01/2025</t>
  </si>
  <si>
    <t>Lack of maintenance</t>
  </si>
  <si>
    <t>Kivumu (Sector)</t>
  </si>
  <si>
    <t>Murundi East</t>
  </si>
  <si>
    <t>Kayonza</t>
  </si>
  <si>
    <t>Kigali Sector</t>
  </si>
  <si>
    <t>Obstructed by a tree</t>
  </si>
  <si>
    <t xml:space="preserve">To relocate it to Mwendo HC </t>
  </si>
  <si>
    <t>Karama / Huye</t>
  </si>
  <si>
    <t>Masaka</t>
  </si>
  <si>
    <t>Relocation to the best coverage</t>
  </si>
  <si>
    <t>Rugera</t>
  </si>
  <si>
    <t>Nyabihu</t>
  </si>
  <si>
    <t>Mutenderi</t>
  </si>
  <si>
    <t>Kitabi</t>
  </si>
  <si>
    <t>Nyamagabe</t>
  </si>
  <si>
    <t>Damaged data logger</t>
  </si>
  <si>
    <t>Procure data logger and radio modem</t>
  </si>
  <si>
    <t>Shagasha</t>
  </si>
  <si>
    <t>Rusizi</t>
  </si>
  <si>
    <t>Kiziguro</t>
  </si>
  <si>
    <t>Musha</t>
  </si>
  <si>
    <t>Muyira</t>
  </si>
  <si>
    <t>Kivumu Parish</t>
  </si>
  <si>
    <t>Muhanga</t>
  </si>
  <si>
    <t>Gakenke</t>
  </si>
  <si>
    <t>Cyabingo</t>
  </si>
  <si>
    <t>Rugerero</t>
  </si>
  <si>
    <t>Rwempesha</t>
  </si>
  <si>
    <t>Sake</t>
  </si>
  <si>
    <t>Obstructed by trees</t>
  </si>
  <si>
    <t>Official request for cutting trees is needed</t>
  </si>
  <si>
    <t>Nyange</t>
  </si>
  <si>
    <t>Musanze</t>
  </si>
  <si>
    <t>Muganza Parish</t>
  </si>
  <si>
    <t>Nyaruguru</t>
  </si>
  <si>
    <t>Obstructing palm tree</t>
  </si>
  <si>
    <t>Request the parish to remove obstructing branches</t>
  </si>
  <si>
    <t>Rugunga</t>
  </si>
  <si>
    <t>Mwiri</t>
  </si>
  <si>
    <t>Gahara</t>
  </si>
  <si>
    <t>Tare</t>
  </si>
  <si>
    <t>Musaza</t>
  </si>
  <si>
    <t>27/03/2025</t>
  </si>
  <si>
    <t>Issue of maintenance</t>
  </si>
  <si>
    <t>Nyamugali</t>
  </si>
  <si>
    <t>kirehe</t>
  </si>
  <si>
    <t>23/03/2025</t>
  </si>
  <si>
    <t>Procure new data logger and radio modem</t>
  </si>
  <si>
    <t>Gicumbi</t>
  </si>
  <si>
    <t>Mwendo</t>
  </si>
  <si>
    <t>Jali</t>
  </si>
  <si>
    <t>Gasabo</t>
  </si>
  <si>
    <t>Ruhango Sector</t>
  </si>
  <si>
    <t xml:space="preserve">Battery and voltage regulator </t>
  </si>
  <si>
    <t xml:space="preserve">To replace Battery and voltage regulator </t>
  </si>
  <si>
    <t>Cyahinda</t>
  </si>
  <si>
    <t>Nkanka</t>
  </si>
  <si>
    <t>Kibeho</t>
  </si>
  <si>
    <t>Rubirizi</t>
  </si>
  <si>
    <t>Save</t>
  </si>
  <si>
    <t>No battery is available</t>
  </si>
  <si>
    <t>To procure new battery in 2025/2026 FY</t>
  </si>
  <si>
    <t>Ngera</t>
  </si>
  <si>
    <t>14/01/2025</t>
  </si>
  <si>
    <t>Gakenke District</t>
  </si>
  <si>
    <t>26/04/2025</t>
  </si>
  <si>
    <t>Ruhango South</t>
  </si>
  <si>
    <t>Kabarondo</t>
  </si>
  <si>
    <t>16/04/2025</t>
  </si>
  <si>
    <t>Issue of obstructing trees and rain gauge sensor issue</t>
  </si>
  <si>
    <t>To be relocated</t>
  </si>
  <si>
    <t>Rusatira</t>
  </si>
  <si>
    <t>Kabaya</t>
  </si>
  <si>
    <t>Cyanzarwe</t>
  </si>
  <si>
    <t>Murundi West</t>
  </si>
  <si>
    <t>Solar panel, Battery and voltage regulator</t>
  </si>
  <si>
    <t>To be replaced</t>
  </si>
  <si>
    <t>Murambi</t>
  </si>
  <si>
    <t>Nyakarenzo</t>
  </si>
  <si>
    <t>13/01/2025</t>
  </si>
  <si>
    <t>Simbi</t>
  </si>
  <si>
    <t>23/05/2025</t>
  </si>
  <si>
    <t xml:space="preserve">Solar panel, Battery </t>
  </si>
  <si>
    <t>Bweramana</t>
  </si>
  <si>
    <t>16/03/2025</t>
  </si>
  <si>
    <t>Nyarubuye Parish</t>
  </si>
  <si>
    <t>15/04/2025</t>
  </si>
  <si>
    <t>Gahini</t>
  </si>
  <si>
    <t>Kagitumba</t>
  </si>
  <si>
    <t>Kinoni</t>
  </si>
  <si>
    <t>Burera</t>
  </si>
  <si>
    <t>17/12/2024</t>
  </si>
  <si>
    <t>Minazi</t>
  </si>
  <si>
    <t>Rusiga</t>
  </si>
  <si>
    <t>Ndera</t>
  </si>
  <si>
    <t>Murama</t>
  </si>
  <si>
    <t>Gasange</t>
  </si>
  <si>
    <t>Data logger, modem and battery to be replaced</t>
  </si>
  <si>
    <t>Province</t>
  </si>
  <si>
    <t>Station Name</t>
  </si>
  <si>
    <t>LAST COMMINICATIONS</t>
  </si>
  <si>
    <t>REPORTING STATUS</t>
  </si>
  <si>
    <t>LAST COMM</t>
  </si>
  <si>
    <t>JULY</t>
  </si>
  <si>
    <t>Server Down</t>
  </si>
  <si>
    <t>No issue/not available in cmm/gds</t>
  </si>
  <si>
    <t xml:space="preserve"> Kayenzi</t>
  </si>
  <si>
    <t xml:space="preserve">Kamonyi </t>
  </si>
  <si>
    <t>Munini</t>
  </si>
  <si>
    <t>Rwankuba</t>
  </si>
  <si>
    <t xml:space="preserve">Karongi </t>
  </si>
  <si>
    <t>Muhororo</t>
  </si>
  <si>
    <t>Kanjong</t>
  </si>
  <si>
    <t xml:space="preserve"> Muringa</t>
  </si>
  <si>
    <t>Ruhuha</t>
  </si>
  <si>
    <t>Bugesera</t>
  </si>
  <si>
    <t>No data</t>
  </si>
  <si>
    <t>NYAMASHEKE</t>
  </si>
  <si>
    <t>RUSIZI</t>
  </si>
  <si>
    <t>BYUMBA</t>
  </si>
  <si>
    <t>GICUMBI</t>
  </si>
  <si>
    <t>RUHENGERI</t>
  </si>
  <si>
    <t>MUSANZE</t>
  </si>
  <si>
    <t>FIRST OF AUGUST</t>
  </si>
  <si>
    <t>R.PERCENTAGE</t>
  </si>
  <si>
    <t>KIGALI_Airport</t>
  </si>
  <si>
    <t>Rushashi</t>
  </si>
  <si>
    <t>Rwabicuma</t>
  </si>
  <si>
    <t>Muganza</t>
  </si>
  <si>
    <t>Katabagemu</t>
  </si>
  <si>
    <t>Rwinkwavu</t>
  </si>
  <si>
    <t>kinigi</t>
  </si>
  <si>
    <t>KICUKIRO</t>
  </si>
  <si>
    <t>GATARE</t>
  </si>
  <si>
    <t>RUGABANO</t>
  </si>
  <si>
    <t>MWITO</t>
  </si>
  <si>
    <t>GAHORORO</t>
  </si>
  <si>
    <t>MUSHUBI</t>
  </si>
  <si>
    <t>MUYANZA</t>
  </si>
  <si>
    <t>RUSENGE</t>
  </si>
  <si>
    <t>UNILIVER</t>
  </si>
  <si>
    <t>RWIMISHANYA</t>
  </si>
  <si>
    <t>COKA</t>
  </si>
  <si>
    <t>COCAMUSAZA</t>
  </si>
  <si>
    <t>KIREHE</t>
  </si>
  <si>
    <t>NGOMA</t>
  </si>
  <si>
    <t>KARONGI</t>
  </si>
  <si>
    <t>NYAMAGABE</t>
  </si>
  <si>
    <t>RULINDO</t>
  </si>
  <si>
    <t>NYARUGURU</t>
  </si>
  <si>
    <t>KAYONZA</t>
  </si>
  <si>
    <t>GAKENKE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</si>
</sst>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F800]dddd\,\ mmmm\ dd\,\ yyyy"/>
  </numFmts>
  <fonts count="9">
    <font>
      <sz val="10"/>
      <color theme="1"/>
      <name val="微软雅黑"/>
      <charset val="134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微软雅黑"/>
      <charset val="134"/>
    </font>
    <font>
      <sz val="10"/>
      <name val="微软雅黑"/>
      <charset val="134"/>
    </font>
    <font>
      <b/>
      <sz val="12"/>
      <color rgb="FF000000"/>
      <name val="Calibri"/>
      <family val="2"/>
    </font>
    <font>
      <b/>
      <sz val="12"/>
      <color rgb="FF000000"/>
      <name val="Times New Roman"/>
      <family val="1"/>
    </font>
    <font>
      <sz val="11"/>
      <color rgb="FF000000"/>
      <name val="Calibri"/>
      <family val="2"/>
    </font>
    <font>
      <b/>
      <sz val="10"/>
      <color theme="1"/>
      <name val="微软雅黑"/>
      <charset val="134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/>
  </cellStyleXfs>
  <cellXfs count="79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9" fontId="0" fillId="0" borderId="0" xfId="1" applyFont="1" applyAlignment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14" fontId="2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49" fontId="0" fillId="3" borderId="0" xfId="0" applyNumberFormat="1" applyFill="1">
      <alignment vertical="center"/>
    </xf>
    <xf numFmtId="49" fontId="0" fillId="0" borderId="0" xfId="0" applyNumberFormat="1" applyFill="1">
      <alignment vertical="center"/>
    </xf>
    <xf numFmtId="0" fontId="0" fillId="3" borderId="0" xfId="0" applyFont="1" applyFill="1">
      <alignment vertical="center"/>
    </xf>
    <xf numFmtId="0" fontId="0" fillId="3" borderId="0" xfId="0" applyFill="1" applyAlignment="1">
      <alignment vertical="center"/>
    </xf>
    <xf numFmtId="0" fontId="0" fillId="7" borderId="0" xfId="0" applyFill="1">
      <alignment vertical="center"/>
    </xf>
    <xf numFmtId="16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8" borderId="0" xfId="0" applyNumberFormat="1" applyFill="1">
      <alignment vertical="center"/>
    </xf>
    <xf numFmtId="49" fontId="0" fillId="8" borderId="0" xfId="0" applyNumberFormat="1" applyFill="1">
      <alignment vertical="center"/>
    </xf>
    <xf numFmtId="164" fontId="0" fillId="8" borderId="0" xfId="0" applyNumberFormat="1" applyFill="1">
      <alignment vertical="center"/>
    </xf>
    <xf numFmtId="49" fontId="0" fillId="8" borderId="0" xfId="0" applyNumberFormat="1" applyFill="1" applyAlignment="1">
      <alignment vertical="center"/>
    </xf>
    <xf numFmtId="0" fontId="0" fillId="9" borderId="0" xfId="0" applyFill="1">
      <alignment vertical="center"/>
    </xf>
    <xf numFmtId="9" fontId="0" fillId="9" borderId="0" xfId="0" applyNumberFormat="1" applyFill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/>
    <xf numFmtId="0" fontId="7" fillId="0" borderId="1" xfId="0" applyFont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14" fontId="0" fillId="0" borderId="1" xfId="0" applyNumberFormat="1" applyBorder="1" applyAlignment="1">
      <alignment horizontal="right"/>
    </xf>
    <xf numFmtId="0" fontId="0" fillId="0" borderId="1" xfId="0" applyBorder="1" applyAlignment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Fill="1" applyBorder="1" applyAlignment="1">
      <alignment vertical="top"/>
    </xf>
    <xf numFmtId="0" fontId="7" fillId="0" borderId="1" xfId="0" applyFont="1" applyFill="1" applyBorder="1" applyAlignment="1">
      <alignment horizontal="left"/>
    </xf>
    <xf numFmtId="14" fontId="0" fillId="0" borderId="1" xfId="0" applyNumberFormat="1" applyFill="1" applyBorder="1" applyAlignment="1">
      <alignment horizontal="right"/>
    </xf>
    <xf numFmtId="0" fontId="0" fillId="0" borderId="1" xfId="0" applyFill="1" applyBorder="1" applyAlignment="1"/>
    <xf numFmtId="0" fontId="0" fillId="0" borderId="1" xfId="0" applyFill="1" applyBorder="1" applyAlignment="1">
      <alignment wrapText="1"/>
    </xf>
    <xf numFmtId="0" fontId="7" fillId="0" borderId="1" xfId="0" applyFont="1" applyBorder="1" applyAlignment="1">
      <alignment horizontal="left" vertical="top"/>
    </xf>
    <xf numFmtId="14" fontId="0" fillId="0" borderId="1" xfId="0" applyNumberFormat="1" applyBorder="1" applyAlignment="1">
      <alignment horizontal="right" vertical="top"/>
    </xf>
    <xf numFmtId="14" fontId="5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" fontId="7" fillId="0" borderId="1" xfId="0" applyNumberFormat="1" applyFont="1" applyBorder="1" applyAlignment="1">
      <alignment horizontal="left"/>
    </xf>
    <xf numFmtId="16" fontId="7" fillId="0" borderId="1" xfId="0" applyNumberFormat="1" applyFont="1" applyFill="1" applyBorder="1" applyAlignment="1">
      <alignment horizontal="left"/>
    </xf>
    <xf numFmtId="16" fontId="7" fillId="0" borderId="1" xfId="0" applyNumberFormat="1" applyFont="1" applyBorder="1" applyAlignment="1">
      <alignment horizontal="left" vertical="top"/>
    </xf>
    <xf numFmtId="0" fontId="7" fillId="10" borderId="1" xfId="0" applyFont="1" applyFill="1" applyBorder="1" applyAlignment="1">
      <alignment horizontal="left"/>
    </xf>
    <xf numFmtId="16" fontId="0" fillId="0" borderId="0" xfId="0" applyNumberFormat="1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14" fontId="7" fillId="0" borderId="1" xfId="0" applyNumberFormat="1" applyFont="1" applyBorder="1" applyAlignment="1">
      <alignment horizontal="left"/>
    </xf>
    <xf numFmtId="0" fontId="0" fillId="0" borderId="0" xfId="0" applyAlignment="1"/>
    <xf numFmtId="0" fontId="8" fillId="0" borderId="0" xfId="0" applyFont="1">
      <alignment vertical="center"/>
    </xf>
    <xf numFmtId="49" fontId="0" fillId="8" borderId="0" xfId="0" applyNumberFormat="1" applyFill="1" applyAlignment="1">
      <alignment horizontal="center" vertical="center"/>
    </xf>
    <xf numFmtId="0" fontId="7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16" fontId="7" fillId="0" borderId="0" xfId="0" applyNumberFormat="1" applyFont="1" applyBorder="1" applyAlignment="1">
      <alignment horizontal="left"/>
    </xf>
    <xf numFmtId="14" fontId="0" fillId="0" borderId="0" xfId="0" applyNumberFormat="1" applyBorder="1" applyAlignment="1">
      <alignment horizontal="right"/>
    </xf>
    <xf numFmtId="0" fontId="0" fillId="0" borderId="0" xfId="0" applyBorder="1" applyAlignment="1"/>
    <xf numFmtId="0" fontId="0" fillId="0" borderId="0" xfId="0" applyBorder="1" applyAlignment="1">
      <alignment wrapText="1"/>
    </xf>
    <xf numFmtId="0" fontId="4" fillId="2" borderId="0" xfId="0" applyFont="1" applyFill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CY63"/>
  <sheetViews>
    <sheetView workbookViewId="0">
      <pane xSplit="4" ySplit="5" topLeftCell="CQ15" activePane="bottomRight" state="frozenSplit"/>
      <selection pane="topRight" activeCell="D1" sqref="D1"/>
      <selection pane="bottomLeft" activeCell="A6" sqref="A6"/>
      <selection pane="bottomRight" activeCell="D30" sqref="D30"/>
    </sheetView>
  </sheetViews>
  <sheetFormatPr defaultRowHeight="14.5"/>
  <cols>
    <col min="1" max="1" width="19.1640625" customWidth="1"/>
    <col min="2" max="2" width="20.75" bestFit="1" customWidth="1"/>
    <col min="3" max="3" width="20.75" customWidth="1"/>
    <col min="4" max="4" width="10.75" customWidth="1"/>
    <col min="5" max="5" width="9.9140625" bestFit="1" customWidth="1"/>
    <col min="80" max="80" width="9.9140625" bestFit="1" customWidth="1"/>
    <col min="102" max="102" width="9.9140625" bestFit="1" customWidth="1"/>
  </cols>
  <sheetData>
    <row r="3" spans="1:103">
      <c r="A3" s="8"/>
      <c r="B3" s="63" t="s">
        <v>7</v>
      </c>
      <c r="C3" s="63" t="s">
        <v>103</v>
      </c>
      <c r="D3" s="64" t="s">
        <v>8</v>
      </c>
      <c r="E3" s="4">
        <f>E5/(E5+F5)</f>
        <v>0.84615384615384615</v>
      </c>
      <c r="F3" s="4">
        <f>F5/(E5+F5)</f>
        <v>0.15384615384615385</v>
      </c>
      <c r="H3" s="4">
        <f>H5/(H5+I5)</f>
        <v>0.86538461538461542</v>
      </c>
      <c r="I3" s="4">
        <f>I5/(H5+I5)</f>
        <v>0.13461538461538461</v>
      </c>
      <c r="K3" s="4" t="e">
        <f>K5/(K5+L5)</f>
        <v>#DIV/0!</v>
      </c>
      <c r="L3" s="4" t="e">
        <f>L5/(K5+L5)</f>
        <v>#DIV/0!</v>
      </c>
      <c r="N3" s="4" t="e">
        <f>N5/(N5+O5)</f>
        <v>#DIV/0!</v>
      </c>
      <c r="O3" s="4" t="e">
        <f>O5/(N5+O5)</f>
        <v>#DIV/0!</v>
      </c>
      <c r="Q3" s="4" t="e">
        <f t="shared" ref="Q3" si="0">Q5/(Q5+R5)</f>
        <v>#DIV/0!</v>
      </c>
      <c r="R3" s="4" t="e">
        <f t="shared" ref="R3" si="1">R5/(Q5+R5)</f>
        <v>#DIV/0!</v>
      </c>
      <c r="T3" s="4" t="e">
        <f t="shared" ref="T3" si="2">T5/(T5+U5)</f>
        <v>#DIV/0!</v>
      </c>
      <c r="U3" s="4" t="e">
        <f t="shared" ref="U3" si="3">U5/(T5+U5)</f>
        <v>#DIV/0!</v>
      </c>
      <c r="W3" s="4" t="e">
        <f t="shared" ref="W3" si="4">W5/(W5+X5)</f>
        <v>#DIV/0!</v>
      </c>
      <c r="X3" s="4" t="e">
        <f t="shared" ref="X3" si="5">X5/(W5+X5)</f>
        <v>#DIV/0!</v>
      </c>
      <c r="Z3" s="4">
        <f t="shared" ref="Z3" si="6">Z5/(Z5+AA5)</f>
        <v>0.88235294117647056</v>
      </c>
      <c r="AA3" s="4">
        <f t="shared" ref="AA3" si="7">AA5/(Z5+AA5)</f>
        <v>0.11764705882352941</v>
      </c>
      <c r="AC3" s="4">
        <f t="shared" ref="AC3" si="8">AC5/(AC5+AD5)</f>
        <v>0.88461538461538458</v>
      </c>
      <c r="AD3" s="4">
        <f t="shared" ref="AD3" si="9">AD5/(AC5+AD5)</f>
        <v>0.11538461538461539</v>
      </c>
      <c r="AF3" s="4">
        <f t="shared" ref="AF3" si="10">AF5/(AF5+AG5)</f>
        <v>0.84615384615384615</v>
      </c>
      <c r="AG3" s="4">
        <f t="shared" ref="AG3" si="11">AG5/(AF5+AG5)</f>
        <v>0.15384615384615385</v>
      </c>
      <c r="AI3" s="4">
        <f t="shared" ref="AI3" si="12">AI5/(AI5+AJ5)</f>
        <v>0.86538461538461542</v>
      </c>
      <c r="AJ3" s="4">
        <f t="shared" ref="AJ3" si="13">AJ5/(AI5+AJ5)</f>
        <v>0.13461538461538461</v>
      </c>
      <c r="AL3" s="4">
        <f t="shared" ref="AL3" si="14">AL5/(AL5+AM5)</f>
        <v>0</v>
      </c>
      <c r="AM3" s="4">
        <f t="shared" ref="AM3" si="15">AM5/(AL5+AM5)</f>
        <v>1</v>
      </c>
      <c r="AO3" s="4">
        <f t="shared" ref="AO3" si="16">AO5/(AO5+AP5)</f>
        <v>0.82692307692307687</v>
      </c>
      <c r="AP3" s="4">
        <f t="shared" ref="AP3" si="17">AP5/(AO5+AP5)</f>
        <v>0.17307692307692307</v>
      </c>
      <c r="AR3" s="4">
        <f t="shared" ref="AR3" si="18">AR5/(AR5+AS5)</f>
        <v>0.80769230769230771</v>
      </c>
      <c r="AS3" s="4">
        <f t="shared" ref="AS3" si="19">AS5/(AR5+AS5)</f>
        <v>0.19230769230769232</v>
      </c>
      <c r="AU3" s="4" t="e">
        <f t="shared" ref="AU3" si="20">AU5/(AU5+AV5)</f>
        <v>#DIV/0!</v>
      </c>
      <c r="AV3" s="4" t="e">
        <f t="shared" ref="AV3" si="21">AV5/(AU5+AV5)</f>
        <v>#DIV/0!</v>
      </c>
      <c r="AX3" s="4">
        <f t="shared" ref="AX3" si="22">AX5/(AX5+AY5)</f>
        <v>0.84615384615384615</v>
      </c>
      <c r="AY3" s="4">
        <f t="shared" ref="AY3" si="23">AY5/(AX5+AY5)</f>
        <v>0.15384615384615385</v>
      </c>
      <c r="BA3" s="4">
        <f t="shared" ref="BA3" si="24">BA5/(BA5+BB5)</f>
        <v>0.84615384615384615</v>
      </c>
      <c r="BB3" s="4">
        <f t="shared" ref="BB3" si="25">BB5/(BA5+BB5)</f>
        <v>0.15384615384615385</v>
      </c>
      <c r="BD3" s="4">
        <f t="shared" ref="BD3" si="26">BD5/(BD5+BE5)</f>
        <v>0.84615384615384615</v>
      </c>
      <c r="BE3" s="4">
        <f t="shared" ref="BE3" si="27">BE5/(BD5+BE5)</f>
        <v>0.15384615384615385</v>
      </c>
      <c r="BG3" s="4">
        <f t="shared" ref="BG3" si="28">BG5/(BG5+BH5)</f>
        <v>0.86538461538461542</v>
      </c>
      <c r="BH3" s="4">
        <f t="shared" ref="BH3" si="29">BH5/(BG5+BH5)</f>
        <v>0.13461538461538461</v>
      </c>
      <c r="BJ3" s="4">
        <f t="shared" ref="BJ3" si="30">BJ5/(BJ5+BK5)</f>
        <v>0.80769230769230771</v>
      </c>
      <c r="BK3" s="4">
        <f t="shared" ref="BK3" si="31">BK5/(BJ5+BK5)</f>
        <v>0.19230769230769232</v>
      </c>
      <c r="BM3" s="4">
        <f t="shared" ref="BM3" si="32">BM5/(BM5+BN5)</f>
        <v>0.86538461538461542</v>
      </c>
      <c r="BN3" s="4">
        <f t="shared" ref="BN3" si="33">BN5/(BM5+BN5)</f>
        <v>0.13461538461538461</v>
      </c>
      <c r="BP3" s="4">
        <f t="shared" ref="BP3" si="34">BP5/(BP5+BQ5)</f>
        <v>0.82692307692307687</v>
      </c>
      <c r="BQ3" s="4">
        <f t="shared" ref="BQ3" si="35">BQ5/(BP5+BQ5)</f>
        <v>0.17307692307692307</v>
      </c>
      <c r="BS3" s="4">
        <f t="shared" ref="BS3" si="36">BS5/(BS5+BT5)</f>
        <v>0.88461538461538458</v>
      </c>
      <c r="BT3" s="4">
        <f t="shared" ref="BT3" si="37">BT5/(BS5+BT5)</f>
        <v>0.11538461538461539</v>
      </c>
      <c r="BV3" s="4">
        <f t="shared" ref="BV3" si="38">BV5/(BV5+BW5)</f>
        <v>0.80769230769230771</v>
      </c>
      <c r="BW3" s="4">
        <f t="shared" ref="BW3" si="39">BW5/(BV5+BW5)</f>
        <v>0.19230769230769232</v>
      </c>
      <c r="BY3" s="4">
        <f t="shared" ref="BY3" si="40">BY5/(BY5+BZ5)</f>
        <v>0.80769230769230771</v>
      </c>
      <c r="BZ3" s="4">
        <f t="shared" ref="BZ3" si="41">BZ5/(BY5+BZ5)</f>
        <v>0.19230769230769232</v>
      </c>
      <c r="CB3" s="4">
        <f t="shared" ref="CB3" si="42">CB5/(CB5+CC5)</f>
        <v>0.82692307692307687</v>
      </c>
      <c r="CC3" s="4">
        <f t="shared" ref="CC3" si="43">CC5/(CB5+CC5)</f>
        <v>0.17307692307692307</v>
      </c>
      <c r="CE3" s="4">
        <f t="shared" ref="CE3" si="44">CE5/(CE5+CF5)</f>
        <v>0.80769230769230771</v>
      </c>
      <c r="CF3" s="4">
        <f t="shared" ref="CF3" si="45">CF5/(CE5+CF5)</f>
        <v>0.19230769230769232</v>
      </c>
      <c r="CH3" s="4">
        <f t="shared" ref="CH3" si="46">CH5/(CH5+CI5)</f>
        <v>0.78846153846153844</v>
      </c>
      <c r="CI3" s="4">
        <f t="shared" ref="CI3" si="47">CI5/(CH5+CI5)</f>
        <v>0.21153846153846154</v>
      </c>
      <c r="CK3" s="4">
        <f t="shared" ref="CK3" si="48">CK5/(CK5+CL5)</f>
        <v>0.82692307692307687</v>
      </c>
      <c r="CL3" s="4">
        <f t="shared" ref="CL3" si="49">CL5/(CK5+CL5)</f>
        <v>0.17307692307692307</v>
      </c>
      <c r="CN3" s="4" t="e">
        <f t="shared" ref="CN3" si="50">CN5/(CN5+CO5)</f>
        <v>#DIV/0!</v>
      </c>
      <c r="CO3" s="4" t="e">
        <f t="shared" ref="CO3" si="51">CO5/(CN5+CO5)</f>
        <v>#DIV/0!</v>
      </c>
      <c r="CQ3" s="4" t="e">
        <f t="shared" ref="CQ3" si="52">CQ5/(CQ5+CR5)</f>
        <v>#DIV/0!</v>
      </c>
      <c r="CR3" s="4" t="e">
        <f t="shared" ref="CR3" si="53">CR5/(CQ5+CR5)</f>
        <v>#DIV/0!</v>
      </c>
      <c r="CX3" s="4">
        <f t="shared" ref="CX3" si="54">CX5/(CX5+CY5)</f>
        <v>0.80769230769230771</v>
      </c>
      <c r="CY3" s="4">
        <f t="shared" ref="CY3" si="55">CY5/(CX5+CY5)</f>
        <v>0.19230769230769232</v>
      </c>
    </row>
    <row r="4" spans="1:103" ht="15">
      <c r="A4" s="8"/>
      <c r="B4" s="63"/>
      <c r="C4" s="63"/>
      <c r="D4" s="64"/>
      <c r="E4" s="7">
        <v>45664</v>
      </c>
      <c r="F4" s="7"/>
      <c r="G4" s="7"/>
      <c r="H4" s="66">
        <v>45695</v>
      </c>
      <c r="I4" s="66"/>
      <c r="J4" s="66"/>
      <c r="K4" s="66">
        <v>45723</v>
      </c>
      <c r="L4" s="66"/>
      <c r="M4" s="66"/>
      <c r="N4" s="66">
        <v>45754</v>
      </c>
      <c r="O4" s="66"/>
      <c r="P4" s="66"/>
      <c r="Q4" s="66">
        <v>45784</v>
      </c>
      <c r="R4" s="66"/>
      <c r="S4" s="66"/>
      <c r="T4" s="66">
        <v>45815</v>
      </c>
      <c r="U4" s="66"/>
      <c r="V4" s="66"/>
      <c r="W4" s="66">
        <v>45845</v>
      </c>
      <c r="X4" s="66"/>
      <c r="Y4" s="66"/>
      <c r="Z4" s="66">
        <v>45876</v>
      </c>
      <c r="AA4" s="66"/>
      <c r="AB4" s="66"/>
      <c r="AC4" s="66">
        <v>45907</v>
      </c>
      <c r="AD4" s="66"/>
      <c r="AE4" s="66"/>
      <c r="AF4" s="66">
        <v>45937</v>
      </c>
      <c r="AG4" s="66"/>
      <c r="AH4" s="66"/>
      <c r="AI4" s="66">
        <v>45968</v>
      </c>
      <c r="AJ4" s="66"/>
      <c r="AK4" s="66"/>
      <c r="AL4" s="66">
        <v>45998</v>
      </c>
      <c r="AM4" s="66"/>
      <c r="AN4" s="66"/>
      <c r="AO4" s="66" t="s">
        <v>85</v>
      </c>
      <c r="AP4" s="66"/>
      <c r="AQ4" s="66"/>
      <c r="AR4" s="66" t="s">
        <v>86</v>
      </c>
      <c r="AS4" s="66"/>
      <c r="AT4" s="66"/>
      <c r="AU4" s="66" t="s">
        <v>86</v>
      </c>
      <c r="AV4" s="66"/>
      <c r="AW4" s="66"/>
      <c r="AX4" s="66" t="s">
        <v>87</v>
      </c>
      <c r="AY4" s="66"/>
      <c r="AZ4" s="66"/>
      <c r="BA4" s="66" t="s">
        <v>88</v>
      </c>
      <c r="BB4" s="66"/>
      <c r="BC4" s="66"/>
      <c r="BD4" s="66" t="s">
        <v>89</v>
      </c>
      <c r="BE4" s="66"/>
      <c r="BF4" s="66"/>
      <c r="BG4" s="66" t="s">
        <v>90</v>
      </c>
      <c r="BH4" s="66"/>
      <c r="BI4" s="66"/>
      <c r="BJ4" s="66" t="s">
        <v>91</v>
      </c>
      <c r="BK4" s="66"/>
      <c r="BL4" s="66"/>
      <c r="BM4" s="66" t="s">
        <v>92</v>
      </c>
      <c r="BN4" s="66"/>
      <c r="BO4" s="66"/>
      <c r="BP4" s="66" t="s">
        <v>93</v>
      </c>
      <c r="BQ4" s="66"/>
      <c r="BR4" s="66"/>
      <c r="BS4" s="66" t="s">
        <v>94</v>
      </c>
      <c r="BT4" s="66"/>
      <c r="BU4" s="66"/>
      <c r="BV4" s="66" t="s">
        <v>95</v>
      </c>
      <c r="BW4" s="66"/>
      <c r="BX4" s="66"/>
      <c r="BY4" s="66" t="s">
        <v>96</v>
      </c>
      <c r="BZ4" s="66"/>
      <c r="CA4" s="66"/>
      <c r="CB4" s="66" t="s">
        <v>97</v>
      </c>
      <c r="CC4" s="66"/>
      <c r="CD4" s="66"/>
      <c r="CE4" s="66" t="s">
        <v>98</v>
      </c>
      <c r="CF4" s="66"/>
      <c r="CG4" s="66"/>
      <c r="CH4" s="66" t="s">
        <v>99</v>
      </c>
      <c r="CI4" s="66"/>
      <c r="CJ4" s="66"/>
      <c r="CK4" s="66" t="s">
        <v>100</v>
      </c>
      <c r="CL4" s="66"/>
      <c r="CM4" s="66"/>
      <c r="CN4" s="66" t="s">
        <v>101</v>
      </c>
      <c r="CO4" s="66"/>
      <c r="CP4" s="66"/>
      <c r="CQ4" s="66" t="s">
        <v>102</v>
      </c>
      <c r="CR4" s="66"/>
      <c r="CS4" s="66"/>
      <c r="CT4" s="65" t="s">
        <v>167</v>
      </c>
      <c r="CU4" s="65"/>
      <c r="CV4" s="62" t="s">
        <v>168</v>
      </c>
      <c r="CW4" s="62"/>
      <c r="CX4" s="44">
        <v>45665</v>
      </c>
    </row>
    <row r="5" spans="1:103">
      <c r="A5" s="8"/>
      <c r="B5" s="63"/>
      <c r="C5" s="63"/>
      <c r="D5" s="64"/>
      <c r="E5" s="3">
        <f>COUNTIF(E6:E61,"YES")</f>
        <v>44</v>
      </c>
      <c r="F5" s="1">
        <f>COUNTIF(F6:F61,"NO")</f>
        <v>8</v>
      </c>
      <c r="G5" s="2" t="s">
        <v>81</v>
      </c>
      <c r="H5" s="3">
        <f>COUNTIF(H6:H61,"YES")</f>
        <v>45</v>
      </c>
      <c r="I5" s="1">
        <f>COUNTIF(I6:I61,"NO")</f>
        <v>7</v>
      </c>
      <c r="J5" s="2" t="s">
        <v>81</v>
      </c>
      <c r="Z5" s="3">
        <f>COUNTIF(Z6:Z61,"YES")</f>
        <v>45</v>
      </c>
      <c r="AA5" s="1">
        <f>COUNTIF(AA6:AA61,"NO")</f>
        <v>6</v>
      </c>
      <c r="AB5" s="2" t="s">
        <v>81</v>
      </c>
      <c r="AC5" s="3">
        <f>COUNTIF(AC6:AC61,"YES")</f>
        <v>46</v>
      </c>
      <c r="AD5" s="1">
        <f>COUNTIF(AD6:AD61,"NO")</f>
        <v>6</v>
      </c>
      <c r="AE5" s="2" t="s">
        <v>81</v>
      </c>
      <c r="AF5" s="3">
        <f>COUNTIF(AF6:AF61,"YES")</f>
        <v>44</v>
      </c>
      <c r="AG5" s="1">
        <f>COUNTIF(AG6:AG61,"NO")</f>
        <v>8</v>
      </c>
      <c r="AH5" s="2" t="s">
        <v>81</v>
      </c>
      <c r="AI5" s="3">
        <f>COUNTIF(AI6:AI61,"YES")</f>
        <v>45</v>
      </c>
      <c r="AJ5" s="1">
        <f>COUNTIF(AJ6:AJ61,"NO")</f>
        <v>7</v>
      </c>
      <c r="AK5" s="2" t="s">
        <v>81</v>
      </c>
      <c r="AL5" s="3">
        <f>COUNTIF(AL6:AL61,"YES")</f>
        <v>0</v>
      </c>
      <c r="AM5" s="1">
        <f>COUNTIF(AM6:AM61," ")</f>
        <v>36</v>
      </c>
      <c r="AN5" s="2" t="s">
        <v>81</v>
      </c>
      <c r="AO5" s="3">
        <f>COUNTIF(AO6:AO61,"YES")</f>
        <v>43</v>
      </c>
      <c r="AP5" s="1">
        <f>COUNTIF(AP6:AP61,"NO")</f>
        <v>9</v>
      </c>
      <c r="AQ5" s="2" t="s">
        <v>81</v>
      </c>
      <c r="AR5" s="3">
        <f>COUNTIF(AR6:AR61,"YES")</f>
        <v>42</v>
      </c>
      <c r="AS5" s="1">
        <f>COUNTIF(AS6:AS61,"NO")</f>
        <v>10</v>
      </c>
      <c r="AT5" s="2" t="s">
        <v>81</v>
      </c>
      <c r="AU5" s="3">
        <f>COUNTIF(AU6:AU61,"YES")</f>
        <v>0</v>
      </c>
      <c r="AV5" s="1">
        <f>COUNTIF(AV6:AV61,"NO")</f>
        <v>0</v>
      </c>
      <c r="AW5" s="2" t="s">
        <v>81</v>
      </c>
      <c r="AX5" s="3">
        <f>COUNTIF(AX6:AX61,"YES")</f>
        <v>44</v>
      </c>
      <c r="AY5" s="1">
        <f>COUNTIF(AY6:AY61,"NO")</f>
        <v>8</v>
      </c>
      <c r="AZ5" s="2" t="s">
        <v>81</v>
      </c>
      <c r="BA5" s="3">
        <f>COUNTIF(BA6:BA61,"YES")</f>
        <v>44</v>
      </c>
      <c r="BB5" s="1">
        <f>COUNTIF(BB6:BB61,"NO")</f>
        <v>8</v>
      </c>
      <c r="BC5" s="2" t="s">
        <v>81</v>
      </c>
      <c r="BD5" s="3">
        <f>COUNTIF(BD6:BD61,"YES")</f>
        <v>44</v>
      </c>
      <c r="BE5" s="1">
        <f>COUNTIF(BE6:BE61,"NO")</f>
        <v>8</v>
      </c>
      <c r="BF5" s="2" t="s">
        <v>81</v>
      </c>
      <c r="BG5" s="3">
        <f>COUNTIF(BG6:BG61,"YES")</f>
        <v>45</v>
      </c>
      <c r="BH5" s="1">
        <f>COUNTIF(BH6:BH61,"NO")</f>
        <v>7</v>
      </c>
      <c r="BI5" s="2" t="s">
        <v>81</v>
      </c>
      <c r="BJ5" s="3">
        <f>COUNTIF(BJ6:BJ61,"YES")</f>
        <v>42</v>
      </c>
      <c r="BK5" s="1">
        <f>COUNTIF(BK6:BK61,"NO")</f>
        <v>10</v>
      </c>
      <c r="BL5" s="2" t="s">
        <v>81</v>
      </c>
      <c r="BM5" s="3">
        <f>COUNTIF(BM6:BM61,"YES")</f>
        <v>45</v>
      </c>
      <c r="BN5" s="1">
        <f>COUNTIF(BN6:BN61,"NO")</f>
        <v>7</v>
      </c>
      <c r="BO5" s="2" t="s">
        <v>81</v>
      </c>
      <c r="BP5" s="3">
        <f>COUNTIF(BP6:BP61,"YES")</f>
        <v>43</v>
      </c>
      <c r="BQ5" s="1">
        <f>COUNTIF(BQ6:BQ61,"NO")</f>
        <v>9</v>
      </c>
      <c r="BR5" s="2" t="s">
        <v>81</v>
      </c>
      <c r="BS5" s="3">
        <f>COUNTIF(BS6:BS61,"YES")</f>
        <v>46</v>
      </c>
      <c r="BT5" s="1">
        <f>COUNTIF(BT6:BT61,"NO")</f>
        <v>6</v>
      </c>
      <c r="BU5" s="2" t="s">
        <v>81</v>
      </c>
      <c r="BV5" s="3">
        <f>COUNTIF(BV6:BV61,"YES")</f>
        <v>42</v>
      </c>
      <c r="BW5" s="1">
        <f>COUNTIF(BW6:BW61,"NO")</f>
        <v>10</v>
      </c>
      <c r="BX5" s="2" t="s">
        <v>81</v>
      </c>
      <c r="BY5" s="3">
        <f>COUNTIF(BY6:BY61,"YES")</f>
        <v>42</v>
      </c>
      <c r="BZ5" s="1">
        <f>COUNTIF(BZ6:BZ61,"NO")</f>
        <v>10</v>
      </c>
      <c r="CA5" s="2" t="s">
        <v>81</v>
      </c>
      <c r="CB5" s="3">
        <f>COUNTIF(CB6:CB61,"YES")</f>
        <v>43</v>
      </c>
      <c r="CC5" s="1">
        <f>COUNTIF(CC6:CC61,"NO")</f>
        <v>9</v>
      </c>
      <c r="CD5" s="2" t="s">
        <v>81</v>
      </c>
      <c r="CE5" s="3">
        <f>COUNTIF(CE6:CE61,"YES")</f>
        <v>42</v>
      </c>
      <c r="CF5" s="1">
        <f>COUNTIF(CF6:CF61,"NO")</f>
        <v>10</v>
      </c>
      <c r="CG5" s="2" t="s">
        <v>81</v>
      </c>
      <c r="CH5" s="3">
        <f>COUNTIF(CH6:CH61,"YES")</f>
        <v>41</v>
      </c>
      <c r="CI5" s="1">
        <f>COUNTIF(CI6:CI61,"NO")</f>
        <v>11</v>
      </c>
      <c r="CJ5" s="2" t="s">
        <v>81</v>
      </c>
      <c r="CK5" s="3">
        <f>COUNTIF(CK6:CK61,"YES")</f>
        <v>43</v>
      </c>
      <c r="CL5" s="1">
        <f>COUNTIF(CL6:CL61,"NO")</f>
        <v>9</v>
      </c>
      <c r="CM5" s="2" t="s">
        <v>81</v>
      </c>
      <c r="CN5" s="3">
        <f>COUNTIF(CN6:CN61,"YES")</f>
        <v>0</v>
      </c>
      <c r="CO5" s="1">
        <f>COUNTIF(CO6:CO61,"NO")</f>
        <v>0</v>
      </c>
      <c r="CP5" s="2" t="s">
        <v>81</v>
      </c>
      <c r="CQ5" s="3">
        <f>COUNTIF(CQ6:CQ61,"YES")</f>
        <v>0</v>
      </c>
      <c r="CR5" s="1">
        <f>COUNTIF(CR6:CR61,"NO")</f>
        <v>0</v>
      </c>
      <c r="CS5" s="2" t="s">
        <v>81</v>
      </c>
      <c r="CT5" s="13" t="s">
        <v>161</v>
      </c>
      <c r="CU5" s="13" t="s">
        <v>162</v>
      </c>
      <c r="CV5" t="s">
        <v>161</v>
      </c>
      <c r="CW5" t="s">
        <v>162</v>
      </c>
      <c r="CX5" s="3">
        <f>COUNTIF(CX6:CX61,"YES")</f>
        <v>42</v>
      </c>
      <c r="CY5" s="1">
        <f>COUNTIF(CY6:CY61,"NO")</f>
        <v>10</v>
      </c>
    </row>
    <row r="6" spans="1:103">
      <c r="A6" s="8" t="s">
        <v>109</v>
      </c>
      <c r="B6" s="8" t="s">
        <v>30</v>
      </c>
      <c r="C6" s="8" t="s">
        <v>107</v>
      </c>
      <c r="D6" t="s">
        <v>31</v>
      </c>
      <c r="E6" t="s">
        <v>3</v>
      </c>
      <c r="H6" t="s">
        <v>3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Z6" t="s">
        <v>3</v>
      </c>
      <c r="AC6" t="s">
        <v>3</v>
      </c>
      <c r="AF6" t="s">
        <v>3</v>
      </c>
      <c r="AI6" t="s">
        <v>3</v>
      </c>
      <c r="AL6" s="1"/>
      <c r="AM6" s="1"/>
      <c r="AO6" t="s">
        <v>3</v>
      </c>
      <c r="AR6" t="s">
        <v>3</v>
      </c>
      <c r="AT6" s="1"/>
      <c r="AU6" s="1"/>
      <c r="AV6" s="1"/>
      <c r="AW6" s="1"/>
      <c r="AX6" t="s">
        <v>3</v>
      </c>
      <c r="BA6" t="s">
        <v>3</v>
      </c>
      <c r="BD6" t="s">
        <v>3</v>
      </c>
      <c r="BG6" t="s">
        <v>3</v>
      </c>
      <c r="BJ6" t="s">
        <v>3</v>
      </c>
      <c r="BM6" t="s">
        <v>3</v>
      </c>
      <c r="BP6" t="s">
        <v>3</v>
      </c>
      <c r="BS6" t="s">
        <v>3</v>
      </c>
      <c r="BV6" t="s">
        <v>3</v>
      </c>
      <c r="BY6" t="s">
        <v>3</v>
      </c>
      <c r="CB6" t="s">
        <v>3</v>
      </c>
      <c r="CE6" t="s">
        <v>3</v>
      </c>
      <c r="CH6" t="s">
        <v>3</v>
      </c>
      <c r="CK6" t="s">
        <v>3</v>
      </c>
      <c r="CN6" s="1"/>
      <c r="CO6" s="1"/>
      <c r="CP6" s="1"/>
      <c r="CT6">
        <f t="shared" ref="CT6:CT23" si="56">COUNTIF(E6:CS6,"NO")</f>
        <v>0</v>
      </c>
      <c r="CU6" s="15">
        <f>(CT6)/(CT6+CV6)</f>
        <v>0</v>
      </c>
      <c r="CV6">
        <f t="shared" ref="CV6:CV23" si="57">COUNTIF(E6:CS6,"YES")</f>
        <v>22</v>
      </c>
      <c r="CW6" s="14">
        <f>CV6/(CT6+CV6)</f>
        <v>1</v>
      </c>
      <c r="CX6" t="s">
        <v>3</v>
      </c>
    </row>
    <row r="7" spans="1:103">
      <c r="A7" s="8" t="s">
        <v>110</v>
      </c>
      <c r="B7" s="8" t="s">
        <v>54</v>
      </c>
      <c r="C7" s="8" t="s">
        <v>107</v>
      </c>
      <c r="D7" t="s">
        <v>31</v>
      </c>
      <c r="E7" t="s">
        <v>3</v>
      </c>
      <c r="H7" t="s">
        <v>3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Z7" t="s">
        <v>3</v>
      </c>
      <c r="AC7" t="s">
        <v>3</v>
      </c>
      <c r="AF7" t="s">
        <v>3</v>
      </c>
      <c r="AI7" t="s">
        <v>3</v>
      </c>
      <c r="AL7" s="1"/>
      <c r="AM7" s="1"/>
      <c r="AO7" t="s">
        <v>3</v>
      </c>
      <c r="AR7" t="s">
        <v>3</v>
      </c>
      <c r="AT7" s="1"/>
      <c r="AU7" s="1"/>
      <c r="AV7" s="1"/>
      <c r="AW7" s="1"/>
      <c r="AX7" t="s">
        <v>3</v>
      </c>
      <c r="BA7" t="s">
        <v>3</v>
      </c>
      <c r="BD7" t="s">
        <v>3</v>
      </c>
      <c r="BG7" t="s">
        <v>3</v>
      </c>
      <c r="BJ7" t="s">
        <v>3</v>
      </c>
      <c r="BM7" t="s">
        <v>3</v>
      </c>
      <c r="BP7" t="s">
        <v>3</v>
      </c>
      <c r="BS7" t="s">
        <v>3</v>
      </c>
      <c r="BV7" t="s">
        <v>3</v>
      </c>
      <c r="BY7" t="s">
        <v>3</v>
      </c>
      <c r="CB7" t="s">
        <v>3</v>
      </c>
      <c r="CE7" t="s">
        <v>3</v>
      </c>
      <c r="CH7" t="s">
        <v>3</v>
      </c>
      <c r="CK7" t="s">
        <v>3</v>
      </c>
      <c r="CN7" s="1"/>
      <c r="CO7" s="1"/>
      <c r="CP7" s="1"/>
      <c r="CT7">
        <f t="shared" si="56"/>
        <v>0</v>
      </c>
      <c r="CU7" s="15">
        <f t="shared" ref="CU7:CU61" si="58">(CT7)/(CT7+CV7)</f>
        <v>0</v>
      </c>
      <c r="CV7">
        <f t="shared" si="57"/>
        <v>22</v>
      </c>
      <c r="CW7" s="14">
        <f t="shared" ref="CW7:CW61" si="59">CV7/(CT7+CV7)</f>
        <v>1</v>
      </c>
      <c r="CX7" t="s">
        <v>3</v>
      </c>
    </row>
    <row r="8" spans="1:103">
      <c r="A8" s="8" t="s">
        <v>111</v>
      </c>
      <c r="B8" s="8" t="s">
        <v>74</v>
      </c>
      <c r="C8" s="8" t="s">
        <v>107</v>
      </c>
      <c r="D8" t="s">
        <v>31</v>
      </c>
      <c r="E8" t="s">
        <v>3</v>
      </c>
      <c r="H8" t="s">
        <v>3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Z8" t="s">
        <v>3</v>
      </c>
      <c r="AC8" t="s">
        <v>3</v>
      </c>
      <c r="AF8" t="s">
        <v>3</v>
      </c>
      <c r="AI8" t="s">
        <v>3</v>
      </c>
      <c r="AL8" s="1"/>
      <c r="AM8" s="1"/>
      <c r="AO8" t="s">
        <v>3</v>
      </c>
      <c r="AR8" t="s">
        <v>3</v>
      </c>
      <c r="AT8" s="1"/>
      <c r="AU8" s="1"/>
      <c r="AV8" s="1"/>
      <c r="AW8" s="1"/>
      <c r="AX8" t="s">
        <v>3</v>
      </c>
      <c r="BA8" t="s">
        <v>3</v>
      </c>
      <c r="BD8" t="s">
        <v>3</v>
      </c>
      <c r="BG8" t="s">
        <v>3</v>
      </c>
      <c r="BJ8" t="s">
        <v>3</v>
      </c>
      <c r="BM8" t="s">
        <v>3</v>
      </c>
      <c r="BP8" t="s">
        <v>3</v>
      </c>
      <c r="BS8" t="s">
        <v>3</v>
      </c>
      <c r="BV8" t="s">
        <v>3</v>
      </c>
      <c r="BY8" t="s">
        <v>3</v>
      </c>
      <c r="CB8" t="s">
        <v>3</v>
      </c>
      <c r="CE8" t="s">
        <v>3</v>
      </c>
      <c r="CH8" t="s">
        <v>3</v>
      </c>
      <c r="CK8" t="s">
        <v>3</v>
      </c>
      <c r="CN8" s="1"/>
      <c r="CO8" s="1"/>
      <c r="CP8" s="1"/>
      <c r="CT8">
        <f t="shared" si="56"/>
        <v>0</v>
      </c>
      <c r="CU8" s="15">
        <f t="shared" si="58"/>
        <v>0</v>
      </c>
      <c r="CV8">
        <f t="shared" si="57"/>
        <v>22</v>
      </c>
      <c r="CW8" s="14">
        <f t="shared" si="59"/>
        <v>1</v>
      </c>
      <c r="CX8" t="s">
        <v>3</v>
      </c>
    </row>
    <row r="9" spans="1:103">
      <c r="A9" s="8" t="s">
        <v>112</v>
      </c>
      <c r="B9" s="8" t="s">
        <v>26</v>
      </c>
      <c r="C9" s="8" t="s">
        <v>107</v>
      </c>
      <c r="D9" t="s">
        <v>5</v>
      </c>
      <c r="E9" t="s">
        <v>3</v>
      </c>
      <c r="H9" t="s">
        <v>3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Z9" t="s">
        <v>3</v>
      </c>
      <c r="AC9" t="s">
        <v>3</v>
      </c>
      <c r="AF9" t="s">
        <v>3</v>
      </c>
      <c r="AI9" t="s">
        <v>3</v>
      </c>
      <c r="AL9" s="1"/>
      <c r="AM9" s="1"/>
      <c r="AO9" t="s">
        <v>3</v>
      </c>
      <c r="AR9" t="s">
        <v>3</v>
      </c>
      <c r="AT9" s="1"/>
      <c r="AU9" s="1"/>
      <c r="AV9" s="1"/>
      <c r="AW9" s="1"/>
      <c r="AX9" t="s">
        <v>3</v>
      </c>
      <c r="BA9" t="s">
        <v>3</v>
      </c>
      <c r="BD9" t="s">
        <v>3</v>
      </c>
      <c r="BG9" t="s">
        <v>3</v>
      </c>
      <c r="BJ9" t="s">
        <v>3</v>
      </c>
      <c r="BM9" t="s">
        <v>3</v>
      </c>
      <c r="BP9" t="s">
        <v>3</v>
      </c>
      <c r="BS9" t="s">
        <v>3</v>
      </c>
      <c r="BV9" t="s">
        <v>3</v>
      </c>
      <c r="BY9" t="s">
        <v>3</v>
      </c>
      <c r="CB9" t="s">
        <v>3</v>
      </c>
      <c r="CE9" t="s">
        <v>3</v>
      </c>
      <c r="CH9" t="s">
        <v>3</v>
      </c>
      <c r="CK9" t="s">
        <v>3</v>
      </c>
      <c r="CN9" s="1"/>
      <c r="CO9" s="1"/>
      <c r="CP9" s="1"/>
      <c r="CT9">
        <f t="shared" si="56"/>
        <v>0</v>
      </c>
      <c r="CU9" s="15">
        <f t="shared" si="58"/>
        <v>0</v>
      </c>
      <c r="CV9">
        <f t="shared" si="57"/>
        <v>22</v>
      </c>
      <c r="CW9" s="14">
        <f t="shared" si="59"/>
        <v>1</v>
      </c>
      <c r="CX9" t="s">
        <v>3</v>
      </c>
    </row>
    <row r="10" spans="1:103">
      <c r="A10" s="8" t="s">
        <v>113</v>
      </c>
      <c r="B10" s="9" t="s">
        <v>39</v>
      </c>
      <c r="C10" s="9" t="s">
        <v>107</v>
      </c>
      <c r="D10" s="1" t="s">
        <v>5</v>
      </c>
      <c r="E10" s="1"/>
      <c r="F10" s="1" t="s">
        <v>0</v>
      </c>
      <c r="G10" s="1"/>
      <c r="H10" s="1"/>
      <c r="I10" s="1" t="s">
        <v>0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 t="s">
        <v>0</v>
      </c>
      <c r="AB10" s="1"/>
      <c r="AC10" s="1"/>
      <c r="AD10" s="1" t="s">
        <v>0</v>
      </c>
      <c r="AE10" s="1"/>
      <c r="AF10" s="1"/>
      <c r="AG10" s="1" t="s">
        <v>0</v>
      </c>
      <c r="AH10" s="1"/>
      <c r="AI10" s="1"/>
      <c r="AJ10" s="1" t="s">
        <v>0</v>
      </c>
      <c r="AK10" s="1"/>
      <c r="AL10" s="1" t="s">
        <v>83</v>
      </c>
      <c r="AM10" s="1"/>
      <c r="AN10" s="1"/>
      <c r="AO10" s="1"/>
      <c r="AP10" s="1" t="s">
        <v>0</v>
      </c>
      <c r="AQ10" s="1"/>
      <c r="AR10" s="1"/>
      <c r="AS10" s="1" t="s">
        <v>0</v>
      </c>
      <c r="AT10" s="1"/>
      <c r="AU10" s="1" t="s">
        <v>83</v>
      </c>
      <c r="AV10" s="1"/>
      <c r="AW10" s="1"/>
      <c r="AX10" s="1"/>
      <c r="AY10" s="1" t="s">
        <v>0</v>
      </c>
      <c r="AZ10" s="1"/>
      <c r="BA10" s="1"/>
      <c r="BB10" s="1" t="s">
        <v>0</v>
      </c>
      <c r="BD10" t="s">
        <v>3</v>
      </c>
      <c r="BG10" t="s">
        <v>3</v>
      </c>
      <c r="BK10" s="1" t="s">
        <v>0</v>
      </c>
      <c r="BM10" t="s">
        <v>3</v>
      </c>
      <c r="BP10" t="s">
        <v>3</v>
      </c>
      <c r="BS10" t="s">
        <v>3</v>
      </c>
      <c r="BV10" t="s">
        <v>3</v>
      </c>
      <c r="BY10" t="s">
        <v>3</v>
      </c>
      <c r="CB10" t="s">
        <v>3</v>
      </c>
      <c r="CE10" t="s">
        <v>3</v>
      </c>
      <c r="CH10" s="1"/>
      <c r="CI10" s="1" t="s">
        <v>0</v>
      </c>
      <c r="CJ10" s="5"/>
      <c r="CK10" s="5"/>
      <c r="CL10" s="5" t="s">
        <v>0</v>
      </c>
      <c r="CM10" s="5"/>
      <c r="CN10" s="1"/>
      <c r="CO10" s="1" t="s">
        <v>311</v>
      </c>
      <c r="CP10" s="1"/>
      <c r="CT10">
        <f t="shared" si="56"/>
        <v>13</v>
      </c>
      <c r="CU10" s="15">
        <f t="shared" si="58"/>
        <v>0.59090909090909094</v>
      </c>
      <c r="CV10">
        <f t="shared" si="57"/>
        <v>9</v>
      </c>
      <c r="CW10" s="14">
        <f t="shared" si="59"/>
        <v>0.40909090909090912</v>
      </c>
      <c r="CY10" t="s">
        <v>0</v>
      </c>
    </row>
    <row r="11" spans="1:103">
      <c r="A11" s="8" t="s">
        <v>114</v>
      </c>
      <c r="B11" s="8" t="s">
        <v>11</v>
      </c>
      <c r="C11" s="8" t="s">
        <v>107</v>
      </c>
      <c r="D11" t="s">
        <v>12</v>
      </c>
      <c r="E11" t="s">
        <v>3</v>
      </c>
      <c r="H11" t="s">
        <v>3</v>
      </c>
      <c r="K11" s="1"/>
      <c r="L11" s="1"/>
      <c r="M11" s="1"/>
      <c r="N11" s="1"/>
      <c r="O11" s="12"/>
      <c r="P11" s="12"/>
      <c r="Q11" s="12"/>
      <c r="R11" s="12"/>
      <c r="S11" s="12"/>
      <c r="T11" s="12"/>
      <c r="U11" s="12"/>
      <c r="V11" s="12"/>
      <c r="W11" s="12"/>
      <c r="X11" s="12"/>
      <c r="Z11" t="s">
        <v>3</v>
      </c>
      <c r="AC11" t="s">
        <v>3</v>
      </c>
      <c r="AF11" t="s">
        <v>3</v>
      </c>
      <c r="AI11" t="s">
        <v>3</v>
      </c>
      <c r="AL11" s="1"/>
      <c r="AM11" s="1"/>
      <c r="AO11" t="s">
        <v>3</v>
      </c>
      <c r="AR11" t="s">
        <v>3</v>
      </c>
      <c r="AT11" s="1"/>
      <c r="AU11" s="1"/>
      <c r="AV11" s="1"/>
      <c r="AW11" s="1"/>
      <c r="AX11" t="s">
        <v>3</v>
      </c>
      <c r="BA11" t="s">
        <v>3</v>
      </c>
      <c r="BD11" t="s">
        <v>3</v>
      </c>
      <c r="BG11" t="s">
        <v>3</v>
      </c>
      <c r="BJ11" t="s">
        <v>3</v>
      </c>
      <c r="BM11" t="s">
        <v>3</v>
      </c>
      <c r="BP11" t="s">
        <v>3</v>
      </c>
      <c r="BS11" t="s">
        <v>3</v>
      </c>
      <c r="BV11" t="s">
        <v>3</v>
      </c>
      <c r="BY11" t="s">
        <v>3</v>
      </c>
      <c r="CB11" t="s">
        <v>3</v>
      </c>
      <c r="CE11" t="s">
        <v>3</v>
      </c>
      <c r="CH11" t="s">
        <v>3</v>
      </c>
      <c r="CK11" t="s">
        <v>3</v>
      </c>
      <c r="CN11" s="1"/>
      <c r="CO11" s="1"/>
      <c r="CP11" s="1"/>
      <c r="CT11">
        <f t="shared" si="56"/>
        <v>0</v>
      </c>
      <c r="CU11" s="15">
        <f t="shared" si="58"/>
        <v>0</v>
      </c>
      <c r="CV11">
        <f t="shared" si="57"/>
        <v>22</v>
      </c>
      <c r="CW11" s="14">
        <f t="shared" si="59"/>
        <v>1</v>
      </c>
      <c r="CX11" t="s">
        <v>3</v>
      </c>
    </row>
    <row r="12" spans="1:103">
      <c r="A12" s="8" t="s">
        <v>115</v>
      </c>
      <c r="B12" s="8" t="s">
        <v>44</v>
      </c>
      <c r="C12" s="8" t="s">
        <v>107</v>
      </c>
      <c r="D12" t="s">
        <v>12</v>
      </c>
      <c r="E12" t="s">
        <v>3</v>
      </c>
      <c r="H12" t="s">
        <v>3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Z12" t="s">
        <v>3</v>
      </c>
      <c r="AC12" t="s">
        <v>3</v>
      </c>
      <c r="AF12" t="s">
        <v>3</v>
      </c>
      <c r="AI12" t="s">
        <v>3</v>
      </c>
      <c r="AL12" s="1"/>
      <c r="AM12" s="1"/>
      <c r="AO12" t="s">
        <v>3</v>
      </c>
      <c r="AR12" t="s">
        <v>3</v>
      </c>
      <c r="AT12" s="1"/>
      <c r="AU12" s="1"/>
      <c r="AV12" s="1"/>
      <c r="AW12" s="1"/>
      <c r="AX12" t="s">
        <v>3</v>
      </c>
      <c r="BA12" t="s">
        <v>3</v>
      </c>
      <c r="BD12" t="s">
        <v>3</v>
      </c>
      <c r="BG12" t="s">
        <v>3</v>
      </c>
      <c r="BJ12" t="s">
        <v>3</v>
      </c>
      <c r="BM12" t="s">
        <v>3</v>
      </c>
      <c r="BP12" t="s">
        <v>3</v>
      </c>
      <c r="BS12" t="s">
        <v>3</v>
      </c>
      <c r="BV12" t="s">
        <v>3</v>
      </c>
      <c r="BY12" t="s">
        <v>3</v>
      </c>
      <c r="CB12" t="s">
        <v>3</v>
      </c>
      <c r="CE12" t="s">
        <v>3</v>
      </c>
      <c r="CH12" t="s">
        <v>3</v>
      </c>
      <c r="CK12" t="s">
        <v>3</v>
      </c>
      <c r="CN12" s="1"/>
      <c r="CO12" s="1"/>
      <c r="CP12" s="1"/>
      <c r="CT12">
        <f t="shared" si="56"/>
        <v>0</v>
      </c>
      <c r="CU12" s="15">
        <f t="shared" si="58"/>
        <v>0</v>
      </c>
      <c r="CV12">
        <f t="shared" si="57"/>
        <v>22</v>
      </c>
      <c r="CW12" s="14">
        <f t="shared" si="59"/>
        <v>1</v>
      </c>
      <c r="CX12" t="s">
        <v>3</v>
      </c>
    </row>
    <row r="13" spans="1:103">
      <c r="A13" s="8" t="s">
        <v>116</v>
      </c>
      <c r="B13" s="8" t="s">
        <v>55</v>
      </c>
      <c r="C13" s="8" t="s">
        <v>107</v>
      </c>
      <c r="D13" t="s">
        <v>12</v>
      </c>
      <c r="E13" t="s">
        <v>3</v>
      </c>
      <c r="H13" t="s">
        <v>3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Z13" t="s">
        <v>3</v>
      </c>
      <c r="AC13" t="s">
        <v>3</v>
      </c>
      <c r="AF13" t="s">
        <v>3</v>
      </c>
      <c r="AI13" t="s">
        <v>3</v>
      </c>
      <c r="AL13" s="1"/>
      <c r="AM13" s="1"/>
      <c r="AO13" t="s">
        <v>3</v>
      </c>
      <c r="AR13" t="s">
        <v>3</v>
      </c>
      <c r="AT13" s="1"/>
      <c r="AU13" s="1"/>
      <c r="AV13" s="1"/>
      <c r="AW13" s="1"/>
      <c r="AX13" t="s">
        <v>3</v>
      </c>
      <c r="BA13" t="s">
        <v>3</v>
      </c>
      <c r="BD13" t="s">
        <v>3</v>
      </c>
      <c r="BG13" t="s">
        <v>3</v>
      </c>
      <c r="BJ13" t="s">
        <v>3</v>
      </c>
      <c r="BM13" t="s">
        <v>3</v>
      </c>
      <c r="BP13" t="s">
        <v>3</v>
      </c>
      <c r="BS13" t="s">
        <v>3</v>
      </c>
      <c r="BV13" t="s">
        <v>3</v>
      </c>
      <c r="BY13" t="s">
        <v>3</v>
      </c>
      <c r="CB13" t="s">
        <v>3</v>
      </c>
      <c r="CE13" t="s">
        <v>3</v>
      </c>
      <c r="CH13" t="s">
        <v>3</v>
      </c>
      <c r="CK13" t="s">
        <v>3</v>
      </c>
      <c r="CN13" s="1"/>
      <c r="CO13" s="1"/>
      <c r="CP13" s="1"/>
      <c r="CT13">
        <f t="shared" si="56"/>
        <v>0</v>
      </c>
      <c r="CU13" s="15">
        <f t="shared" si="58"/>
        <v>0</v>
      </c>
      <c r="CV13">
        <f t="shared" si="57"/>
        <v>22</v>
      </c>
      <c r="CW13" s="14">
        <f t="shared" si="59"/>
        <v>1</v>
      </c>
      <c r="CX13" t="s">
        <v>3</v>
      </c>
    </row>
    <row r="14" spans="1:103">
      <c r="A14" s="8" t="s">
        <v>117</v>
      </c>
      <c r="B14" s="8" t="s">
        <v>58</v>
      </c>
      <c r="C14" s="8" t="s">
        <v>107</v>
      </c>
      <c r="D14" t="s">
        <v>12</v>
      </c>
      <c r="E14" t="s">
        <v>3</v>
      </c>
      <c r="H14" t="s">
        <v>3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Z14" t="s">
        <v>3</v>
      </c>
      <c r="AC14" t="s">
        <v>3</v>
      </c>
      <c r="AF14" t="s">
        <v>3</v>
      </c>
      <c r="AI14" t="s">
        <v>3</v>
      </c>
      <c r="AL14" s="1"/>
      <c r="AM14" s="1"/>
      <c r="AO14" t="s">
        <v>3</v>
      </c>
      <c r="AR14" t="s">
        <v>3</v>
      </c>
      <c r="AT14" s="1"/>
      <c r="AU14" s="1"/>
      <c r="AV14" s="1"/>
      <c r="AW14" s="1"/>
      <c r="AX14" t="s">
        <v>3</v>
      </c>
      <c r="BA14" t="s">
        <v>3</v>
      </c>
      <c r="BD14" t="s">
        <v>3</v>
      </c>
      <c r="BG14" t="s">
        <v>3</v>
      </c>
      <c r="BJ14" t="s">
        <v>3</v>
      </c>
      <c r="BM14" t="s">
        <v>3</v>
      </c>
      <c r="BP14" t="s">
        <v>3</v>
      </c>
      <c r="BS14" t="s">
        <v>3</v>
      </c>
      <c r="BV14" t="s">
        <v>3</v>
      </c>
      <c r="BY14" t="s">
        <v>3</v>
      </c>
      <c r="CB14" t="s">
        <v>3</v>
      </c>
      <c r="CE14" t="s">
        <v>3</v>
      </c>
      <c r="CH14" t="s">
        <v>3</v>
      </c>
      <c r="CK14" t="s">
        <v>3</v>
      </c>
      <c r="CN14" s="1"/>
      <c r="CO14" s="1"/>
      <c r="CP14" s="1"/>
      <c r="CT14">
        <f t="shared" si="56"/>
        <v>0</v>
      </c>
      <c r="CU14" s="15">
        <f t="shared" si="58"/>
        <v>0</v>
      </c>
      <c r="CV14">
        <f t="shared" si="57"/>
        <v>22</v>
      </c>
      <c r="CW14" s="14">
        <f t="shared" si="59"/>
        <v>1</v>
      </c>
      <c r="CX14" t="s">
        <v>3</v>
      </c>
    </row>
    <row r="15" spans="1:103">
      <c r="A15" s="8" t="s">
        <v>118</v>
      </c>
      <c r="B15" s="8" t="s">
        <v>47</v>
      </c>
      <c r="C15" s="8" t="s">
        <v>107</v>
      </c>
      <c r="D15" t="s">
        <v>48</v>
      </c>
      <c r="E15" t="s">
        <v>3</v>
      </c>
      <c r="H15" t="s">
        <v>3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Z15" t="s">
        <v>3</v>
      </c>
      <c r="AC15" t="s">
        <v>3</v>
      </c>
      <c r="AF15" t="s">
        <v>3</v>
      </c>
      <c r="AI15" t="s">
        <v>3</v>
      </c>
      <c r="AL15" s="1"/>
      <c r="AM15" s="1" t="s">
        <v>82</v>
      </c>
      <c r="AO15" t="s">
        <v>3</v>
      </c>
      <c r="AR15" t="s">
        <v>3</v>
      </c>
      <c r="AT15" s="1"/>
      <c r="AU15" s="1"/>
      <c r="AV15" s="1"/>
      <c r="AW15" s="1"/>
      <c r="AX15" t="s">
        <v>3</v>
      </c>
      <c r="BA15" t="s">
        <v>3</v>
      </c>
      <c r="BD15" t="s">
        <v>3</v>
      </c>
      <c r="BG15" t="s">
        <v>3</v>
      </c>
      <c r="BJ15" t="s">
        <v>3</v>
      </c>
      <c r="BM15" t="s">
        <v>3</v>
      </c>
      <c r="BP15" t="s">
        <v>3</v>
      </c>
      <c r="BS15" t="s">
        <v>3</v>
      </c>
      <c r="BV15" t="s">
        <v>3</v>
      </c>
      <c r="BY15" t="s">
        <v>3</v>
      </c>
      <c r="CB15" t="s">
        <v>3</v>
      </c>
      <c r="CE15" t="s">
        <v>3</v>
      </c>
      <c r="CH15" t="s">
        <v>3</v>
      </c>
      <c r="CK15" t="s">
        <v>3</v>
      </c>
      <c r="CN15" s="1"/>
      <c r="CO15" s="1"/>
      <c r="CP15" s="1"/>
      <c r="CT15">
        <f t="shared" si="56"/>
        <v>0</v>
      </c>
      <c r="CU15" s="15">
        <f t="shared" si="58"/>
        <v>0</v>
      </c>
      <c r="CV15">
        <f t="shared" si="57"/>
        <v>22</v>
      </c>
      <c r="CW15" s="14">
        <f t="shared" si="59"/>
        <v>1</v>
      </c>
      <c r="CX15" t="s">
        <v>3</v>
      </c>
    </row>
    <row r="16" spans="1:103">
      <c r="A16" s="8" t="s">
        <v>119</v>
      </c>
      <c r="B16" s="8" t="s">
        <v>50</v>
      </c>
      <c r="C16" s="8" t="s">
        <v>107</v>
      </c>
      <c r="D16" t="s">
        <v>48</v>
      </c>
      <c r="E16" t="s">
        <v>3</v>
      </c>
      <c r="H16" t="s">
        <v>3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Z16" t="s">
        <v>3</v>
      </c>
      <c r="AC16" t="s">
        <v>3</v>
      </c>
      <c r="AF16" t="s">
        <v>3</v>
      </c>
      <c r="AI16" t="s">
        <v>3</v>
      </c>
      <c r="AL16" s="1"/>
      <c r="AM16" s="1"/>
      <c r="AO16" t="s">
        <v>3</v>
      </c>
      <c r="AR16" t="s">
        <v>3</v>
      </c>
      <c r="AT16" s="1"/>
      <c r="AU16" s="1"/>
      <c r="AV16" s="1"/>
      <c r="AW16" s="1"/>
      <c r="AX16" t="s">
        <v>3</v>
      </c>
      <c r="BA16" t="s">
        <v>3</v>
      </c>
      <c r="BD16" t="s">
        <v>3</v>
      </c>
      <c r="BG16" t="s">
        <v>3</v>
      </c>
      <c r="BJ16" t="s">
        <v>3</v>
      </c>
      <c r="BM16" t="s">
        <v>3</v>
      </c>
      <c r="BP16" t="s">
        <v>3</v>
      </c>
      <c r="BS16" t="s">
        <v>3</v>
      </c>
      <c r="BV16" t="s">
        <v>3</v>
      </c>
      <c r="BY16" t="s">
        <v>3</v>
      </c>
      <c r="CB16" t="s">
        <v>3</v>
      </c>
      <c r="CE16" t="s">
        <v>3</v>
      </c>
      <c r="CH16" t="s">
        <v>3</v>
      </c>
      <c r="CK16" t="s">
        <v>3</v>
      </c>
      <c r="CN16" s="1"/>
      <c r="CO16" s="1"/>
      <c r="CP16" s="1"/>
      <c r="CT16">
        <f t="shared" si="56"/>
        <v>0</v>
      </c>
      <c r="CU16" s="15">
        <f t="shared" si="58"/>
        <v>0</v>
      </c>
      <c r="CV16">
        <f t="shared" si="57"/>
        <v>22</v>
      </c>
      <c r="CW16" s="14">
        <f t="shared" si="59"/>
        <v>1</v>
      </c>
      <c r="CX16" t="s">
        <v>3</v>
      </c>
    </row>
    <row r="17" spans="1:103">
      <c r="A17" s="8" t="s">
        <v>120</v>
      </c>
      <c r="B17" s="8" t="s">
        <v>57</v>
      </c>
      <c r="C17" s="8" t="s">
        <v>107</v>
      </c>
      <c r="D17" t="s">
        <v>48</v>
      </c>
      <c r="E17" t="s">
        <v>3</v>
      </c>
      <c r="H17" t="s">
        <v>3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Z17" t="s">
        <v>3</v>
      </c>
      <c r="AC17" t="s">
        <v>3</v>
      </c>
      <c r="AF17" t="s">
        <v>3</v>
      </c>
      <c r="AI17" t="s">
        <v>3</v>
      </c>
      <c r="AL17" s="1"/>
      <c r="AM17" s="1"/>
      <c r="AO17" t="s">
        <v>3</v>
      </c>
      <c r="AR17" t="s">
        <v>3</v>
      </c>
      <c r="AT17" s="1"/>
      <c r="AU17" s="1"/>
      <c r="AV17" s="1"/>
      <c r="AW17" s="1"/>
      <c r="AX17" t="s">
        <v>3</v>
      </c>
      <c r="BA17" t="s">
        <v>3</v>
      </c>
      <c r="BD17" t="s">
        <v>3</v>
      </c>
      <c r="BG17" t="s">
        <v>3</v>
      </c>
      <c r="BJ17" t="s">
        <v>3</v>
      </c>
      <c r="BM17" t="s">
        <v>3</v>
      </c>
      <c r="BP17" t="s">
        <v>3</v>
      </c>
      <c r="BS17" t="s">
        <v>3</v>
      </c>
      <c r="BV17" t="s">
        <v>3</v>
      </c>
      <c r="BY17" t="s">
        <v>3</v>
      </c>
      <c r="CB17" t="s">
        <v>3</v>
      </c>
      <c r="CE17" t="s">
        <v>3</v>
      </c>
      <c r="CH17" t="s">
        <v>3</v>
      </c>
      <c r="CK17" t="s">
        <v>3</v>
      </c>
      <c r="CN17" s="1"/>
      <c r="CO17" s="1"/>
      <c r="CP17" s="1"/>
      <c r="CT17">
        <f t="shared" si="56"/>
        <v>0</v>
      </c>
      <c r="CU17" s="15">
        <f t="shared" si="58"/>
        <v>0</v>
      </c>
      <c r="CV17">
        <f t="shared" si="57"/>
        <v>22</v>
      </c>
      <c r="CW17" s="14">
        <f t="shared" si="59"/>
        <v>1</v>
      </c>
      <c r="CX17" t="s">
        <v>3</v>
      </c>
    </row>
    <row r="18" spans="1:103">
      <c r="A18" s="8" t="s">
        <v>121</v>
      </c>
      <c r="B18" s="8" t="s">
        <v>73</v>
      </c>
      <c r="C18" s="8" t="s">
        <v>107</v>
      </c>
      <c r="D18" t="s">
        <v>48</v>
      </c>
      <c r="E18" t="s">
        <v>3</v>
      </c>
      <c r="H18" t="s">
        <v>3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Z18" t="s">
        <v>3</v>
      </c>
      <c r="AC18" t="s">
        <v>3</v>
      </c>
      <c r="AF18" t="s">
        <v>3</v>
      </c>
      <c r="AI18" t="s">
        <v>3</v>
      </c>
      <c r="AL18" s="1"/>
      <c r="AM18" s="1"/>
      <c r="AO18" t="s">
        <v>3</v>
      </c>
      <c r="AR18" t="s">
        <v>3</v>
      </c>
      <c r="AT18" s="1"/>
      <c r="AU18" s="1"/>
      <c r="AV18" s="1"/>
      <c r="AW18" s="1"/>
      <c r="AX18" t="s">
        <v>3</v>
      </c>
      <c r="BA18" t="s">
        <v>3</v>
      </c>
      <c r="BD18" t="s">
        <v>3</v>
      </c>
      <c r="BG18" t="s">
        <v>3</v>
      </c>
      <c r="BJ18" t="s">
        <v>3</v>
      </c>
      <c r="BM18" t="s">
        <v>3</v>
      </c>
      <c r="BP18" t="s">
        <v>3</v>
      </c>
      <c r="BS18" t="s">
        <v>3</v>
      </c>
      <c r="BV18" t="s">
        <v>3</v>
      </c>
      <c r="BY18" t="s">
        <v>3</v>
      </c>
      <c r="CB18" t="s">
        <v>3</v>
      </c>
      <c r="CE18" t="s">
        <v>3</v>
      </c>
      <c r="CH18" t="s">
        <v>3</v>
      </c>
      <c r="CK18" t="s">
        <v>3</v>
      </c>
      <c r="CN18" s="1"/>
      <c r="CO18" s="1"/>
      <c r="CP18" s="1"/>
      <c r="CT18">
        <f t="shared" si="56"/>
        <v>0</v>
      </c>
      <c r="CU18" s="15">
        <f t="shared" si="58"/>
        <v>0</v>
      </c>
      <c r="CV18">
        <f t="shared" si="57"/>
        <v>22</v>
      </c>
      <c r="CW18" s="14">
        <f t="shared" si="59"/>
        <v>1</v>
      </c>
      <c r="CX18" t="s">
        <v>3</v>
      </c>
    </row>
    <row r="19" spans="1:103">
      <c r="A19" s="8" t="s">
        <v>122</v>
      </c>
      <c r="B19" s="8" t="s">
        <v>9</v>
      </c>
      <c r="C19" s="8" t="s">
        <v>107</v>
      </c>
      <c r="D19" t="s">
        <v>10</v>
      </c>
      <c r="E19" t="s">
        <v>3</v>
      </c>
      <c r="H19" t="s">
        <v>3</v>
      </c>
      <c r="K19" s="1"/>
      <c r="L19" s="1"/>
      <c r="M19" s="1"/>
      <c r="N19" s="1"/>
      <c r="O19" s="12" t="s">
        <v>83</v>
      </c>
      <c r="P19" s="12"/>
      <c r="Q19" s="12"/>
      <c r="R19" s="12"/>
      <c r="S19" s="12"/>
      <c r="T19" s="12"/>
      <c r="U19" s="12"/>
      <c r="V19" s="12"/>
      <c r="W19" s="12"/>
      <c r="X19" s="12"/>
      <c r="Z19" t="s">
        <v>3</v>
      </c>
      <c r="AC19" t="s">
        <v>3</v>
      </c>
      <c r="AF19" t="s">
        <v>3</v>
      </c>
      <c r="AI19" t="s">
        <v>3</v>
      </c>
      <c r="AL19" s="1"/>
      <c r="AM19" s="1"/>
      <c r="AO19" t="s">
        <v>3</v>
      </c>
      <c r="AR19" t="s">
        <v>3</v>
      </c>
      <c r="AT19" s="1"/>
      <c r="AU19" s="1"/>
      <c r="AV19" s="1"/>
      <c r="AW19" s="1"/>
      <c r="AX19" t="s">
        <v>3</v>
      </c>
      <c r="BA19" t="s">
        <v>3</v>
      </c>
      <c r="BD19" t="s">
        <v>3</v>
      </c>
      <c r="BG19" t="s">
        <v>3</v>
      </c>
      <c r="BJ19" t="s">
        <v>3</v>
      </c>
      <c r="BM19" t="s">
        <v>3</v>
      </c>
      <c r="BP19" t="s">
        <v>3</v>
      </c>
      <c r="BS19" t="s">
        <v>3</v>
      </c>
      <c r="BV19" t="s">
        <v>3</v>
      </c>
      <c r="BY19" t="s">
        <v>3</v>
      </c>
      <c r="CB19" t="s">
        <v>3</v>
      </c>
      <c r="CE19" t="s">
        <v>3</v>
      </c>
      <c r="CH19" t="s">
        <v>3</v>
      </c>
      <c r="CK19" t="s">
        <v>3</v>
      </c>
      <c r="CN19" s="1"/>
      <c r="CO19" s="1"/>
      <c r="CP19" s="1"/>
      <c r="CT19">
        <f t="shared" si="56"/>
        <v>0</v>
      </c>
      <c r="CU19" s="15">
        <f t="shared" si="58"/>
        <v>0</v>
      </c>
      <c r="CV19">
        <f t="shared" si="57"/>
        <v>22</v>
      </c>
      <c r="CW19" s="14">
        <f t="shared" si="59"/>
        <v>1</v>
      </c>
      <c r="CX19" t="s">
        <v>3</v>
      </c>
    </row>
    <row r="20" spans="1:103">
      <c r="A20" s="8" t="s">
        <v>123</v>
      </c>
      <c r="B20" s="8" t="s">
        <v>46</v>
      </c>
      <c r="C20" s="8" t="s">
        <v>107</v>
      </c>
      <c r="D20" t="s">
        <v>10</v>
      </c>
      <c r="E20" t="s">
        <v>3</v>
      </c>
      <c r="H20" t="s">
        <v>3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Z20" t="s">
        <v>3</v>
      </c>
      <c r="AC20" t="s">
        <v>3</v>
      </c>
      <c r="AF20" t="s">
        <v>3</v>
      </c>
      <c r="AI20" t="s">
        <v>3</v>
      </c>
      <c r="AL20" s="1"/>
      <c r="AM20" s="1"/>
      <c r="AO20" t="s">
        <v>3</v>
      </c>
      <c r="AR20" t="s">
        <v>3</v>
      </c>
      <c r="AT20" s="1"/>
      <c r="AU20" s="1"/>
      <c r="AV20" s="1"/>
      <c r="AW20" s="1"/>
      <c r="AX20" t="s">
        <v>3</v>
      </c>
      <c r="BA20" t="s">
        <v>3</v>
      </c>
      <c r="BD20" t="s">
        <v>3</v>
      </c>
      <c r="BG20" t="s">
        <v>3</v>
      </c>
      <c r="BJ20" t="s">
        <v>3</v>
      </c>
      <c r="BM20" t="s">
        <v>3</v>
      </c>
      <c r="BP20" t="s">
        <v>3</v>
      </c>
      <c r="BS20" t="s">
        <v>3</v>
      </c>
      <c r="BV20" t="s">
        <v>3</v>
      </c>
      <c r="BY20" t="s">
        <v>3</v>
      </c>
      <c r="CB20" t="s">
        <v>3</v>
      </c>
      <c r="CE20" t="s">
        <v>3</v>
      </c>
      <c r="CH20" t="s">
        <v>3</v>
      </c>
      <c r="CK20" t="s">
        <v>3</v>
      </c>
      <c r="CN20" s="1"/>
      <c r="CO20" s="1"/>
      <c r="CP20" s="1"/>
      <c r="CT20">
        <f t="shared" si="56"/>
        <v>0</v>
      </c>
      <c r="CU20" s="15">
        <f t="shared" si="58"/>
        <v>0</v>
      </c>
      <c r="CV20">
        <f t="shared" si="57"/>
        <v>22</v>
      </c>
      <c r="CW20" s="14">
        <f t="shared" si="59"/>
        <v>1</v>
      </c>
      <c r="CX20" t="s">
        <v>3</v>
      </c>
    </row>
    <row r="21" spans="1:103">
      <c r="A21" s="8" t="s">
        <v>124</v>
      </c>
      <c r="B21" s="8" t="s">
        <v>53</v>
      </c>
      <c r="C21" s="8" t="s">
        <v>107</v>
      </c>
      <c r="D21" t="s">
        <v>10</v>
      </c>
      <c r="E21" t="s">
        <v>3</v>
      </c>
      <c r="H21" t="s">
        <v>3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Z21" t="s">
        <v>3</v>
      </c>
      <c r="AC21" t="s">
        <v>3</v>
      </c>
      <c r="AF21" t="s">
        <v>3</v>
      </c>
      <c r="AI21" t="s">
        <v>3</v>
      </c>
      <c r="AL21" s="1"/>
      <c r="AM21" s="1"/>
      <c r="AO21" t="s">
        <v>3</v>
      </c>
      <c r="AR21" t="s">
        <v>3</v>
      </c>
      <c r="AT21" s="1"/>
      <c r="AU21" s="1"/>
      <c r="AV21" s="1"/>
      <c r="AW21" s="1"/>
      <c r="AX21" t="s">
        <v>3</v>
      </c>
      <c r="BA21" t="s">
        <v>3</v>
      </c>
      <c r="BD21" t="s">
        <v>3</v>
      </c>
      <c r="BG21" t="s">
        <v>3</v>
      </c>
      <c r="BJ21" t="s">
        <v>3</v>
      </c>
      <c r="BM21" t="s">
        <v>3</v>
      </c>
      <c r="BP21" t="s">
        <v>3</v>
      </c>
      <c r="BS21" t="s">
        <v>3</v>
      </c>
      <c r="BV21" t="s">
        <v>3</v>
      </c>
      <c r="BY21" t="s">
        <v>3</v>
      </c>
      <c r="CB21" t="s">
        <v>3</v>
      </c>
      <c r="CE21" t="s">
        <v>3</v>
      </c>
      <c r="CH21" t="s">
        <v>3</v>
      </c>
      <c r="CK21" t="s">
        <v>3</v>
      </c>
      <c r="CN21" s="1"/>
      <c r="CO21" s="1"/>
      <c r="CP21" s="1"/>
      <c r="CT21">
        <f t="shared" si="56"/>
        <v>0</v>
      </c>
      <c r="CU21" s="15">
        <f t="shared" si="58"/>
        <v>0</v>
      </c>
      <c r="CV21">
        <f t="shared" si="57"/>
        <v>22</v>
      </c>
      <c r="CW21" s="14">
        <f t="shared" si="59"/>
        <v>1</v>
      </c>
      <c r="CX21" t="s">
        <v>3</v>
      </c>
    </row>
    <row r="22" spans="1:103">
      <c r="A22" s="8" t="s">
        <v>125</v>
      </c>
      <c r="B22" s="10" t="s">
        <v>4</v>
      </c>
      <c r="C22" s="10" t="s">
        <v>107</v>
      </c>
      <c r="D22" s="6" t="s">
        <v>4</v>
      </c>
      <c r="E22" t="s">
        <v>3</v>
      </c>
      <c r="H22" t="s">
        <v>3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Z22" t="s">
        <v>3</v>
      </c>
      <c r="AC22" t="s">
        <v>3</v>
      </c>
      <c r="AF22" t="s">
        <v>3</v>
      </c>
      <c r="AI22" t="s">
        <v>3</v>
      </c>
      <c r="AL22" s="1"/>
      <c r="AM22" s="1"/>
      <c r="AO22" t="s">
        <v>3</v>
      </c>
      <c r="AR22" t="s">
        <v>3</v>
      </c>
      <c r="AT22" s="1"/>
      <c r="AU22" s="1"/>
      <c r="AV22" s="1"/>
      <c r="AW22" s="1"/>
      <c r="AX22" t="s">
        <v>3</v>
      </c>
      <c r="BA22" t="s">
        <v>3</v>
      </c>
      <c r="BD22" t="s">
        <v>3</v>
      </c>
      <c r="BG22" t="s">
        <v>3</v>
      </c>
      <c r="BJ22" t="s">
        <v>3</v>
      </c>
      <c r="BM22" t="s">
        <v>3</v>
      </c>
      <c r="BP22" t="s">
        <v>3</v>
      </c>
      <c r="BS22" t="s">
        <v>3</v>
      </c>
      <c r="BV22" t="s">
        <v>3</v>
      </c>
      <c r="BY22" t="s">
        <v>3</v>
      </c>
      <c r="CB22" t="s">
        <v>3</v>
      </c>
      <c r="CE22" t="s">
        <v>3</v>
      </c>
      <c r="CH22" t="s">
        <v>3</v>
      </c>
      <c r="CK22" t="s">
        <v>3</v>
      </c>
      <c r="CN22" s="1"/>
      <c r="CO22" s="1"/>
      <c r="CP22" s="1"/>
      <c r="CT22">
        <f t="shared" si="56"/>
        <v>0</v>
      </c>
      <c r="CU22" s="15">
        <f t="shared" si="58"/>
        <v>0</v>
      </c>
      <c r="CV22">
        <f t="shared" si="57"/>
        <v>22</v>
      </c>
      <c r="CW22" s="14">
        <f t="shared" si="59"/>
        <v>1</v>
      </c>
      <c r="CX22" t="s">
        <v>3</v>
      </c>
    </row>
    <row r="23" spans="1:103">
      <c r="A23" s="8" t="s">
        <v>153</v>
      </c>
      <c r="B23" s="8" t="s">
        <v>79</v>
      </c>
      <c r="C23" s="8" t="s">
        <v>107</v>
      </c>
      <c r="D23" t="s">
        <v>45</v>
      </c>
      <c r="E23" t="s">
        <v>3</v>
      </c>
      <c r="H23" t="s">
        <v>3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Z23" t="s">
        <v>3</v>
      </c>
      <c r="AC23" t="s">
        <v>3</v>
      </c>
      <c r="AF23" t="s">
        <v>3</v>
      </c>
      <c r="AI23" t="s">
        <v>3</v>
      </c>
      <c r="AL23" s="1"/>
      <c r="AM23" s="1" t="s">
        <v>82</v>
      </c>
      <c r="AO23" t="s">
        <v>3</v>
      </c>
      <c r="AR23" t="s">
        <v>3</v>
      </c>
      <c r="AT23" s="1"/>
      <c r="AU23" s="1"/>
      <c r="AV23" s="1"/>
      <c r="AW23" s="1"/>
      <c r="AX23" t="s">
        <v>3</v>
      </c>
      <c r="BA23" t="s">
        <v>3</v>
      </c>
      <c r="BD23" t="s">
        <v>3</v>
      </c>
      <c r="BG23" t="s">
        <v>3</v>
      </c>
      <c r="BJ23" t="s">
        <v>3</v>
      </c>
      <c r="BM23" t="s">
        <v>3</v>
      </c>
      <c r="BP23" t="s">
        <v>3</v>
      </c>
      <c r="BS23" t="s">
        <v>3</v>
      </c>
      <c r="BV23" t="s">
        <v>3</v>
      </c>
      <c r="BY23" t="s">
        <v>3</v>
      </c>
      <c r="CB23" t="s">
        <v>3</v>
      </c>
      <c r="CE23" t="s">
        <v>3</v>
      </c>
      <c r="CH23" t="s">
        <v>3</v>
      </c>
      <c r="CK23" t="s">
        <v>3</v>
      </c>
      <c r="CN23" s="1"/>
      <c r="CO23" s="1"/>
      <c r="CP23" s="1"/>
      <c r="CT23">
        <f t="shared" si="56"/>
        <v>0</v>
      </c>
      <c r="CU23" s="15">
        <f>(CT23)/(CT23+CV23)</f>
        <v>0</v>
      </c>
      <c r="CV23">
        <f t="shared" si="57"/>
        <v>22</v>
      </c>
      <c r="CW23" s="14">
        <f>CV23/(CT23+CV23)</f>
        <v>1</v>
      </c>
      <c r="CX23" t="s">
        <v>3</v>
      </c>
    </row>
    <row r="24" spans="1:103">
      <c r="A24" s="20" t="s">
        <v>163</v>
      </c>
      <c r="B24" s="20"/>
      <c r="C24" s="20"/>
      <c r="D24" s="20"/>
      <c r="E24" s="16"/>
      <c r="F24" s="16"/>
      <c r="G24" s="16"/>
      <c r="H24" s="16"/>
      <c r="I24" s="16"/>
      <c r="J24" s="16"/>
      <c r="K24" s="1"/>
      <c r="L24" s="1"/>
      <c r="M24" s="1"/>
      <c r="N24" s="1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"/>
      <c r="AU24" s="1"/>
      <c r="AV24" s="1"/>
      <c r="AW24" s="1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"/>
      <c r="CO24" s="1"/>
      <c r="CP24" s="1"/>
      <c r="CQ24" s="16"/>
      <c r="CR24" s="16"/>
      <c r="CS24" s="16"/>
      <c r="CT24" s="16"/>
      <c r="CU24" s="17">
        <f>AVERAGE(CU8:CU22)</f>
        <v>3.9393939393939398E-2</v>
      </c>
      <c r="CV24" s="17"/>
      <c r="CW24" s="17">
        <f>AVERAGE(CW8:CW22)</f>
        <v>0.96060606060606069</v>
      </c>
    </row>
    <row r="25" spans="1:103">
      <c r="A25" s="8" t="s">
        <v>126</v>
      </c>
      <c r="B25" s="8" t="s">
        <v>32</v>
      </c>
      <c r="C25" s="8" t="s">
        <v>108</v>
      </c>
      <c r="D25" t="s">
        <v>33</v>
      </c>
      <c r="E25" t="s">
        <v>3</v>
      </c>
      <c r="H25" t="s">
        <v>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Z25" t="s">
        <v>3</v>
      </c>
      <c r="AC25" t="s">
        <v>3</v>
      </c>
      <c r="AF25" t="s">
        <v>3</v>
      </c>
      <c r="AI25" t="s">
        <v>3</v>
      </c>
      <c r="AL25" s="1"/>
      <c r="AM25" s="1" t="s">
        <v>82</v>
      </c>
      <c r="AO25" t="s">
        <v>3</v>
      </c>
      <c r="AR25" t="s">
        <v>3</v>
      </c>
      <c r="AT25" s="1"/>
      <c r="AU25" s="1"/>
      <c r="AV25" s="1"/>
      <c r="AW25" s="1"/>
      <c r="AX25" t="s">
        <v>3</v>
      </c>
      <c r="BA25" t="s">
        <v>3</v>
      </c>
      <c r="BD25" t="s">
        <v>3</v>
      </c>
      <c r="BG25" t="s">
        <v>3</v>
      </c>
      <c r="BJ25" t="s">
        <v>3</v>
      </c>
      <c r="BM25" t="s">
        <v>3</v>
      </c>
      <c r="BP25" t="s">
        <v>3</v>
      </c>
      <c r="BS25" t="s">
        <v>3</v>
      </c>
      <c r="BV25" t="s">
        <v>3</v>
      </c>
      <c r="BY25" t="s">
        <v>3</v>
      </c>
      <c r="CB25" t="s">
        <v>3</v>
      </c>
      <c r="CE25" t="s">
        <v>3</v>
      </c>
      <c r="CH25" t="s">
        <v>3</v>
      </c>
      <c r="CK25" t="s">
        <v>3</v>
      </c>
      <c r="CN25" s="1"/>
      <c r="CO25" s="1"/>
      <c r="CP25" s="1"/>
      <c r="CT25">
        <f t="shared" ref="CT25:CT32" si="60">COUNTIF(E25:CS25,"NO")</f>
        <v>0</v>
      </c>
      <c r="CU25" s="15">
        <f t="shared" si="58"/>
        <v>0</v>
      </c>
      <c r="CV25">
        <f t="shared" ref="CV25:CV32" si="61">COUNTIF(E25:CS25,"YES")</f>
        <v>22</v>
      </c>
      <c r="CW25" s="14">
        <f t="shared" si="59"/>
        <v>1</v>
      </c>
      <c r="CX25" t="s">
        <v>3</v>
      </c>
    </row>
    <row r="26" spans="1:103">
      <c r="A26" s="8" t="s">
        <v>127</v>
      </c>
      <c r="B26" s="8" t="s">
        <v>38</v>
      </c>
      <c r="C26" s="8" t="s">
        <v>108</v>
      </c>
      <c r="D26" t="s">
        <v>33</v>
      </c>
      <c r="E26" t="s">
        <v>3</v>
      </c>
      <c r="H26" t="s">
        <v>3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Z26" t="s">
        <v>3</v>
      </c>
      <c r="AC26" t="s">
        <v>3</v>
      </c>
      <c r="AF26" t="s">
        <v>3</v>
      </c>
      <c r="AI26" t="s">
        <v>3</v>
      </c>
      <c r="AL26" s="1"/>
      <c r="AM26" s="1" t="s">
        <v>82</v>
      </c>
      <c r="AN26" s="1"/>
      <c r="AO26" s="1"/>
      <c r="AP26" s="1" t="s">
        <v>0</v>
      </c>
      <c r="AQ26" s="1"/>
      <c r="AR26" s="1"/>
      <c r="AS26" s="1" t="s">
        <v>0</v>
      </c>
      <c r="AT26" s="1"/>
      <c r="AU26" s="1"/>
      <c r="AV26" s="1"/>
      <c r="AW26" s="1"/>
      <c r="AX26" s="1"/>
      <c r="AY26" s="1" t="s">
        <v>0</v>
      </c>
      <c r="AZ26" s="1"/>
      <c r="BA26" s="1"/>
      <c r="BB26" s="1" t="s">
        <v>0</v>
      </c>
      <c r="BC26" s="1"/>
      <c r="BD26" s="1"/>
      <c r="BE26" s="1" t="s">
        <v>0</v>
      </c>
      <c r="BF26" s="1"/>
      <c r="BG26" s="1"/>
      <c r="BH26" s="1" t="s">
        <v>0</v>
      </c>
      <c r="BI26" s="1"/>
      <c r="BJ26" s="1"/>
      <c r="BK26" s="1" t="s">
        <v>0</v>
      </c>
      <c r="BL26" s="1"/>
      <c r="BM26" s="1"/>
      <c r="BN26" s="1" t="s">
        <v>0</v>
      </c>
      <c r="BO26" s="1"/>
      <c r="BP26" s="1"/>
      <c r="BQ26" s="1" t="s">
        <v>0</v>
      </c>
      <c r="BR26" s="1"/>
      <c r="BS26" s="1"/>
      <c r="BT26" s="1" t="s">
        <v>0</v>
      </c>
      <c r="BU26" s="1"/>
      <c r="BV26" s="1"/>
      <c r="BW26" s="1" t="s">
        <v>0</v>
      </c>
      <c r="BX26" s="1"/>
      <c r="BY26" s="5"/>
      <c r="BZ26" s="5" t="s">
        <v>0</v>
      </c>
      <c r="CA26" s="5"/>
      <c r="CB26" s="1"/>
      <c r="CC26" s="1" t="s">
        <v>0</v>
      </c>
      <c r="CD26" s="1"/>
      <c r="CE26" s="1"/>
      <c r="CF26" s="1" t="s">
        <v>0</v>
      </c>
      <c r="CG26" s="1"/>
      <c r="CH26" s="1"/>
      <c r="CI26" s="1" t="s">
        <v>0</v>
      </c>
      <c r="CJ26" s="5"/>
      <c r="CK26" s="5"/>
      <c r="CL26" s="5" t="s">
        <v>0</v>
      </c>
      <c r="CM26" s="5"/>
      <c r="CN26" s="1"/>
      <c r="CO26" s="1"/>
      <c r="CP26" s="1"/>
      <c r="CT26">
        <f t="shared" si="60"/>
        <v>16</v>
      </c>
      <c r="CU26" s="15">
        <f t="shared" si="58"/>
        <v>0.72727272727272729</v>
      </c>
      <c r="CV26">
        <f t="shared" si="61"/>
        <v>6</v>
      </c>
      <c r="CW26" s="14">
        <f t="shared" si="59"/>
        <v>0.27272727272727271</v>
      </c>
      <c r="CY26" t="s">
        <v>0</v>
      </c>
    </row>
    <row r="27" spans="1:103">
      <c r="A27" s="8" t="s">
        <v>128</v>
      </c>
      <c r="B27" s="8" t="s">
        <v>59</v>
      </c>
      <c r="C27" s="8" t="s">
        <v>108</v>
      </c>
      <c r="D27" t="s">
        <v>33</v>
      </c>
      <c r="E27" t="s">
        <v>3</v>
      </c>
      <c r="H27" t="s">
        <v>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Z27" t="s">
        <v>3</v>
      </c>
      <c r="AC27" t="s">
        <v>3</v>
      </c>
      <c r="AF27" t="s">
        <v>3</v>
      </c>
      <c r="AI27" t="s">
        <v>3</v>
      </c>
      <c r="AL27" s="1"/>
      <c r="AM27" s="1" t="s">
        <v>82</v>
      </c>
      <c r="AO27" t="s">
        <v>3</v>
      </c>
      <c r="AR27" t="s">
        <v>3</v>
      </c>
      <c r="AT27" s="1"/>
      <c r="AU27" s="1"/>
      <c r="AV27" s="1"/>
      <c r="AW27" s="1"/>
      <c r="AX27" t="s">
        <v>3</v>
      </c>
      <c r="BA27" t="s">
        <v>3</v>
      </c>
      <c r="BD27" t="s">
        <v>3</v>
      </c>
      <c r="BG27" t="s">
        <v>3</v>
      </c>
      <c r="BJ27" t="s">
        <v>3</v>
      </c>
      <c r="BM27" t="s">
        <v>3</v>
      </c>
      <c r="BP27" t="s">
        <v>3</v>
      </c>
      <c r="BS27" t="s">
        <v>3</v>
      </c>
      <c r="BV27" t="s">
        <v>3</v>
      </c>
      <c r="BY27" t="s">
        <v>3</v>
      </c>
      <c r="CB27" t="s">
        <v>3</v>
      </c>
      <c r="CE27" t="s">
        <v>3</v>
      </c>
      <c r="CH27" t="s">
        <v>3</v>
      </c>
      <c r="CK27" t="s">
        <v>3</v>
      </c>
      <c r="CN27" s="1"/>
      <c r="CO27" s="1"/>
      <c r="CP27" s="1"/>
      <c r="CT27">
        <f t="shared" si="60"/>
        <v>0</v>
      </c>
      <c r="CU27" s="15">
        <f t="shared" si="58"/>
        <v>0</v>
      </c>
      <c r="CV27">
        <f t="shared" si="61"/>
        <v>22</v>
      </c>
      <c r="CW27" s="14">
        <f t="shared" si="59"/>
        <v>1</v>
      </c>
      <c r="CX27" t="s">
        <v>3</v>
      </c>
    </row>
    <row r="28" spans="1:103">
      <c r="A28" s="8" t="s">
        <v>129</v>
      </c>
      <c r="B28" s="8" t="s">
        <v>69</v>
      </c>
      <c r="C28" s="8" t="s">
        <v>108</v>
      </c>
      <c r="D28" t="s">
        <v>33</v>
      </c>
      <c r="E28" t="s">
        <v>3</v>
      </c>
      <c r="H28" t="s">
        <v>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Z28" t="s">
        <v>3</v>
      </c>
      <c r="AC28" t="s">
        <v>3</v>
      </c>
      <c r="AF28" t="s">
        <v>3</v>
      </c>
      <c r="AI28" t="s">
        <v>3</v>
      </c>
      <c r="AL28" s="1"/>
      <c r="AM28" s="1" t="s">
        <v>82</v>
      </c>
      <c r="AO28" t="s">
        <v>3</v>
      </c>
      <c r="AR28" t="s">
        <v>3</v>
      </c>
      <c r="AT28" s="1"/>
      <c r="AU28" s="1"/>
      <c r="AV28" s="1"/>
      <c r="AW28" s="1"/>
      <c r="AX28" t="s">
        <v>3</v>
      </c>
      <c r="BA28" t="s">
        <v>3</v>
      </c>
      <c r="BD28" t="s">
        <v>3</v>
      </c>
      <c r="BG28" t="s">
        <v>3</v>
      </c>
      <c r="BJ28" t="s">
        <v>3</v>
      </c>
      <c r="BM28" t="s">
        <v>3</v>
      </c>
      <c r="BP28" t="s">
        <v>3</v>
      </c>
      <c r="BS28" t="s">
        <v>3</v>
      </c>
      <c r="BV28" t="s">
        <v>3</v>
      </c>
      <c r="BY28" t="s">
        <v>3</v>
      </c>
      <c r="CB28" t="s">
        <v>3</v>
      </c>
      <c r="CE28" t="s">
        <v>3</v>
      </c>
      <c r="CH28" t="s">
        <v>3</v>
      </c>
      <c r="CK28" t="s">
        <v>3</v>
      </c>
      <c r="CN28" s="1"/>
      <c r="CO28" s="1"/>
      <c r="CP28" s="1"/>
      <c r="CT28">
        <f t="shared" si="60"/>
        <v>0</v>
      </c>
      <c r="CU28" s="15">
        <f t="shared" si="58"/>
        <v>0</v>
      </c>
      <c r="CV28">
        <f t="shared" si="61"/>
        <v>22</v>
      </c>
      <c r="CW28" s="14">
        <f t="shared" si="59"/>
        <v>1</v>
      </c>
      <c r="CX28" t="s">
        <v>3</v>
      </c>
    </row>
    <row r="29" spans="1:103">
      <c r="A29" s="8" t="s">
        <v>130</v>
      </c>
      <c r="B29" s="8" t="s">
        <v>72</v>
      </c>
      <c r="C29" s="8" t="s">
        <v>108</v>
      </c>
      <c r="D29" t="s">
        <v>33</v>
      </c>
      <c r="E29" s="1"/>
      <c r="F29" s="1" t="s">
        <v>0</v>
      </c>
      <c r="G29" s="1"/>
      <c r="H29" s="1"/>
      <c r="I29" s="1" t="s">
        <v>0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6"/>
      <c r="AA29" s="6" t="s">
        <v>3</v>
      </c>
      <c r="AB29" s="6"/>
      <c r="AC29" s="6" t="s">
        <v>3</v>
      </c>
      <c r="AD29" s="6"/>
      <c r="AE29" s="6"/>
      <c r="AF29" s="1"/>
      <c r="AG29" s="1" t="s">
        <v>0</v>
      </c>
      <c r="AH29" s="1"/>
      <c r="AI29" s="1"/>
      <c r="AJ29" s="1" t="s">
        <v>0</v>
      </c>
      <c r="AK29" s="1"/>
      <c r="AL29" s="1"/>
      <c r="AM29" s="1" t="s">
        <v>82</v>
      </c>
      <c r="AN29" s="1"/>
      <c r="AO29" s="1"/>
      <c r="AP29" s="1" t="s">
        <v>0</v>
      </c>
      <c r="AQ29" s="1"/>
      <c r="AR29" s="1"/>
      <c r="AS29" s="1" t="s">
        <v>0</v>
      </c>
      <c r="AT29" s="1"/>
      <c r="AU29" s="1"/>
      <c r="AV29" s="1"/>
      <c r="AW29" s="1"/>
      <c r="AX29" s="1"/>
      <c r="AY29" s="1" t="s">
        <v>0</v>
      </c>
      <c r="AZ29" s="1"/>
      <c r="BA29" s="1"/>
      <c r="BB29" s="1" t="s">
        <v>0</v>
      </c>
      <c r="BC29" s="1"/>
      <c r="BD29" s="1"/>
      <c r="BE29" s="1" t="s">
        <v>0</v>
      </c>
      <c r="BF29" s="1"/>
      <c r="BG29" s="1"/>
      <c r="BH29" s="1" t="s">
        <v>0</v>
      </c>
      <c r="BI29" s="1"/>
      <c r="BJ29" s="1"/>
      <c r="BK29" s="1" t="s">
        <v>0</v>
      </c>
      <c r="BL29" s="1"/>
      <c r="BM29" s="1"/>
      <c r="BN29" s="1" t="s">
        <v>0</v>
      </c>
      <c r="BO29" s="1"/>
      <c r="BP29" s="1"/>
      <c r="BQ29" s="1" t="s">
        <v>0</v>
      </c>
      <c r="BR29" s="1"/>
      <c r="BS29" s="1"/>
      <c r="BT29" s="1" t="s">
        <v>0</v>
      </c>
      <c r="BU29" s="1"/>
      <c r="BV29" s="1"/>
      <c r="BW29" s="1" t="s">
        <v>0</v>
      </c>
      <c r="BX29" s="1"/>
      <c r="BY29" s="5"/>
      <c r="BZ29" s="5" t="s">
        <v>0</v>
      </c>
      <c r="CA29" s="5"/>
      <c r="CB29" s="1"/>
      <c r="CC29" s="1" t="s">
        <v>0</v>
      </c>
      <c r="CD29" s="1"/>
      <c r="CE29" s="1"/>
      <c r="CF29" s="1" t="s">
        <v>0</v>
      </c>
      <c r="CG29" s="1"/>
      <c r="CH29" s="1"/>
      <c r="CI29" s="1" t="s">
        <v>0</v>
      </c>
      <c r="CJ29" s="5"/>
      <c r="CK29" s="5"/>
      <c r="CL29" s="5" t="s">
        <v>0</v>
      </c>
      <c r="CM29" s="5"/>
      <c r="CN29" s="1"/>
      <c r="CO29" s="1"/>
      <c r="CP29" s="1"/>
      <c r="CT29">
        <f t="shared" si="60"/>
        <v>20</v>
      </c>
      <c r="CU29" s="15">
        <f t="shared" si="58"/>
        <v>0.90909090909090906</v>
      </c>
      <c r="CV29">
        <f t="shared" si="61"/>
        <v>2</v>
      </c>
      <c r="CW29" s="14">
        <f t="shared" si="59"/>
        <v>9.0909090909090912E-2</v>
      </c>
      <c r="CY29" t="s">
        <v>0</v>
      </c>
    </row>
    <row r="30" spans="1:103">
      <c r="A30" s="8" t="s">
        <v>131</v>
      </c>
      <c r="B30" s="8" t="s">
        <v>6</v>
      </c>
      <c r="C30" s="8" t="s">
        <v>108</v>
      </c>
      <c r="D30" t="s">
        <v>29</v>
      </c>
      <c r="E30" s="1"/>
      <c r="F30" s="1" t="s">
        <v>0</v>
      </c>
      <c r="G30" s="1"/>
      <c r="H30" s="1"/>
      <c r="I30" s="1" t="s">
        <v>0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 t="s">
        <v>0</v>
      </c>
      <c r="AB30" s="1"/>
      <c r="AC30" s="1"/>
      <c r="AD30" s="1" t="s">
        <v>0</v>
      </c>
      <c r="AE30" s="1"/>
      <c r="AF30" s="1"/>
      <c r="AG30" s="1" t="s">
        <v>0</v>
      </c>
      <c r="AH30" s="1"/>
      <c r="AI30" s="1"/>
      <c r="AJ30" s="1" t="s">
        <v>0</v>
      </c>
      <c r="AK30" s="1"/>
      <c r="AL30" s="1"/>
      <c r="AM30" s="1" t="s">
        <v>82</v>
      </c>
      <c r="AN30" s="1"/>
      <c r="AO30" s="1"/>
      <c r="AP30" s="1" t="s">
        <v>0</v>
      </c>
      <c r="AQ30" s="1"/>
      <c r="AR30" s="1"/>
      <c r="AS30" s="1" t="s">
        <v>0</v>
      </c>
      <c r="AT30" s="1"/>
      <c r="AU30" s="1"/>
      <c r="AV30" s="1"/>
      <c r="AW30" s="1"/>
      <c r="AX30" s="1"/>
      <c r="AY30" s="1" t="s">
        <v>0</v>
      </c>
      <c r="AZ30" s="1"/>
      <c r="BA30" s="1"/>
      <c r="BB30" s="1" t="s">
        <v>0</v>
      </c>
      <c r="BC30" s="1"/>
      <c r="BD30" s="1"/>
      <c r="BE30" s="1" t="s">
        <v>0</v>
      </c>
      <c r="BF30" s="1"/>
      <c r="BG30" s="1"/>
      <c r="BH30" s="1" t="s">
        <v>0</v>
      </c>
      <c r="BI30" s="1"/>
      <c r="BJ30" s="1"/>
      <c r="BK30" s="1" t="s">
        <v>0</v>
      </c>
      <c r="BL30" s="1"/>
      <c r="BM30" s="1"/>
      <c r="BN30" s="1" t="s">
        <v>0</v>
      </c>
      <c r="BO30" s="1"/>
      <c r="BP30" s="1"/>
      <c r="BQ30" s="1" t="s">
        <v>0</v>
      </c>
      <c r="BR30" s="1"/>
      <c r="BS30" s="1"/>
      <c r="BT30" s="1" t="s">
        <v>0</v>
      </c>
      <c r="BU30" s="1"/>
      <c r="BV30" s="1"/>
      <c r="BW30" s="1" t="s">
        <v>0</v>
      </c>
      <c r="BX30" s="1"/>
      <c r="BY30" s="5"/>
      <c r="BZ30" s="5" t="s">
        <v>0</v>
      </c>
      <c r="CA30" s="5"/>
      <c r="CB30" s="1"/>
      <c r="CC30" s="1" t="s">
        <v>0</v>
      </c>
      <c r="CD30" s="1"/>
      <c r="CE30" s="1"/>
      <c r="CF30" s="1" t="s">
        <v>0</v>
      </c>
      <c r="CG30" s="1"/>
      <c r="CH30" s="1"/>
      <c r="CI30" s="1" t="s">
        <v>0</v>
      </c>
      <c r="CJ30" s="5"/>
      <c r="CK30" s="5"/>
      <c r="CL30" s="5" t="s">
        <v>0</v>
      </c>
      <c r="CM30" s="5"/>
      <c r="CN30" s="1"/>
      <c r="CO30" s="1"/>
      <c r="CP30" s="1"/>
      <c r="CT30">
        <f t="shared" si="60"/>
        <v>22</v>
      </c>
      <c r="CU30" s="15">
        <f t="shared" si="58"/>
        <v>1</v>
      </c>
      <c r="CV30">
        <f t="shared" si="61"/>
        <v>0</v>
      </c>
      <c r="CW30" s="14">
        <f t="shared" si="59"/>
        <v>0</v>
      </c>
      <c r="CY30" t="s">
        <v>0</v>
      </c>
    </row>
    <row r="31" spans="1:103">
      <c r="A31" s="8" t="s">
        <v>132</v>
      </c>
      <c r="B31" s="8" t="s">
        <v>1</v>
      </c>
      <c r="C31" s="8" t="s">
        <v>108</v>
      </c>
      <c r="D31" t="s">
        <v>2</v>
      </c>
      <c r="E31" t="s">
        <v>3</v>
      </c>
      <c r="H31" t="s">
        <v>3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Z31" t="s">
        <v>3</v>
      </c>
      <c r="AC31" t="s">
        <v>3</v>
      </c>
      <c r="AF31" t="s">
        <v>3</v>
      </c>
      <c r="AI31" t="s">
        <v>3</v>
      </c>
      <c r="AL31" s="1"/>
      <c r="AM31" s="1" t="s">
        <v>82</v>
      </c>
      <c r="AO31" t="s">
        <v>3</v>
      </c>
      <c r="AR31" t="s">
        <v>3</v>
      </c>
      <c r="AT31" s="1"/>
      <c r="AU31" s="1"/>
      <c r="AV31" s="1"/>
      <c r="AW31" s="1"/>
      <c r="AX31" t="s">
        <v>3</v>
      </c>
      <c r="BA31" t="s">
        <v>3</v>
      </c>
      <c r="BD31" t="s">
        <v>3</v>
      </c>
      <c r="BG31" t="s">
        <v>3</v>
      </c>
      <c r="BJ31" s="1"/>
      <c r="BK31" s="1" t="s">
        <v>0</v>
      </c>
      <c r="BL31" s="1"/>
      <c r="BM31" t="s">
        <v>3</v>
      </c>
      <c r="BP31" s="1"/>
      <c r="BQ31" s="1" t="s">
        <v>0</v>
      </c>
      <c r="BR31" s="1"/>
      <c r="BS31" t="s">
        <v>3</v>
      </c>
      <c r="BV31" s="1"/>
      <c r="BW31" s="1" t="s">
        <v>0</v>
      </c>
      <c r="BX31" s="1"/>
      <c r="BY31" s="5"/>
      <c r="BZ31" s="5" t="s">
        <v>0</v>
      </c>
      <c r="CA31" s="5"/>
      <c r="CB31" s="1"/>
      <c r="CC31" s="1" t="s">
        <v>0</v>
      </c>
      <c r="CD31" s="1"/>
      <c r="CE31" s="1"/>
      <c r="CF31" s="1" t="s">
        <v>0</v>
      </c>
      <c r="CG31" s="1"/>
      <c r="CH31" s="1"/>
      <c r="CI31" s="1" t="s">
        <v>0</v>
      </c>
      <c r="CK31" t="s">
        <v>3</v>
      </c>
      <c r="CN31" s="1"/>
      <c r="CO31" s="1"/>
      <c r="CP31" s="1"/>
      <c r="CT31">
        <f t="shared" si="60"/>
        <v>7</v>
      </c>
      <c r="CU31" s="15">
        <f t="shared" si="58"/>
        <v>0.31818181818181818</v>
      </c>
      <c r="CV31">
        <f t="shared" si="61"/>
        <v>15</v>
      </c>
      <c r="CW31" s="14">
        <f t="shared" si="59"/>
        <v>0.68181818181818177</v>
      </c>
      <c r="CY31" t="s">
        <v>0</v>
      </c>
    </row>
    <row r="32" spans="1:103">
      <c r="A32" s="8" t="s">
        <v>133</v>
      </c>
      <c r="B32" s="8" t="s">
        <v>49</v>
      </c>
      <c r="C32" s="8" t="s">
        <v>108</v>
      </c>
      <c r="D32" t="s">
        <v>2</v>
      </c>
      <c r="E32" t="s">
        <v>3</v>
      </c>
      <c r="H32" t="s">
        <v>3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Z32" t="s">
        <v>3</v>
      </c>
      <c r="AC32" t="s">
        <v>3</v>
      </c>
      <c r="AF32" t="s">
        <v>3</v>
      </c>
      <c r="AI32" t="s">
        <v>3</v>
      </c>
      <c r="AL32" s="1"/>
      <c r="AM32" s="1" t="s">
        <v>82</v>
      </c>
      <c r="AO32" t="s">
        <v>3</v>
      </c>
      <c r="AR32" t="s">
        <v>3</v>
      </c>
      <c r="AT32" s="1"/>
      <c r="AU32" s="1"/>
      <c r="AV32" s="1"/>
      <c r="AW32" s="1"/>
      <c r="AX32" t="s">
        <v>3</v>
      </c>
      <c r="BA32" t="s">
        <v>3</v>
      </c>
      <c r="BD32" t="s">
        <v>3</v>
      </c>
      <c r="BG32" t="s">
        <v>3</v>
      </c>
      <c r="BJ32" t="s">
        <v>3</v>
      </c>
      <c r="BM32" t="s">
        <v>3</v>
      </c>
      <c r="BP32" t="s">
        <v>3</v>
      </c>
      <c r="BS32" t="s">
        <v>3</v>
      </c>
      <c r="BV32" t="s">
        <v>3</v>
      </c>
      <c r="BY32" t="s">
        <v>3</v>
      </c>
      <c r="CB32" t="s">
        <v>3</v>
      </c>
      <c r="CE32" t="s">
        <v>3</v>
      </c>
      <c r="CH32" t="s">
        <v>3</v>
      </c>
      <c r="CK32" t="s">
        <v>3</v>
      </c>
      <c r="CN32" s="1"/>
      <c r="CO32" s="1"/>
      <c r="CP32" s="1"/>
      <c r="CT32">
        <f t="shared" si="60"/>
        <v>0</v>
      </c>
      <c r="CU32" s="15">
        <f t="shared" si="58"/>
        <v>0</v>
      </c>
      <c r="CV32">
        <f t="shared" si="61"/>
        <v>22</v>
      </c>
      <c r="CW32" s="14">
        <f t="shared" si="59"/>
        <v>1</v>
      </c>
      <c r="CX32" t="s">
        <v>3</v>
      </c>
    </row>
    <row r="33" spans="1:103">
      <c r="A33" s="18" t="s">
        <v>164</v>
      </c>
      <c r="B33" s="55"/>
      <c r="C33" s="18"/>
      <c r="D33" s="16"/>
      <c r="E33" s="16"/>
      <c r="F33" s="16"/>
      <c r="G33" s="16"/>
      <c r="H33" s="16"/>
      <c r="I33" s="16"/>
      <c r="J33" s="16"/>
      <c r="K33" s="1"/>
      <c r="L33" s="1"/>
      <c r="M33" s="1"/>
      <c r="N33" s="1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"/>
      <c r="AU33" s="1"/>
      <c r="AV33" s="1"/>
      <c r="AW33" s="1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"/>
      <c r="CO33" s="1"/>
      <c r="CP33" s="1"/>
      <c r="CQ33" s="16"/>
      <c r="CR33" s="16"/>
      <c r="CS33" s="16"/>
      <c r="CT33" s="16"/>
      <c r="CU33" s="17">
        <f>AVERAGE(CU25:CU32)</f>
        <v>0.36931818181818182</v>
      </c>
      <c r="CV33" s="16"/>
      <c r="CW33" s="19">
        <f>AVERAGE(CW25:CW32)</f>
        <v>0.63068181818181812</v>
      </c>
    </row>
    <row r="34" spans="1:103">
      <c r="A34" s="8" t="s">
        <v>134</v>
      </c>
      <c r="B34" s="8" t="s">
        <v>15</v>
      </c>
      <c r="C34" s="8" t="s">
        <v>106</v>
      </c>
      <c r="D34" t="s">
        <v>16</v>
      </c>
      <c r="E34" t="s">
        <v>3</v>
      </c>
      <c r="H34" t="s">
        <v>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Z34" t="s">
        <v>3</v>
      </c>
      <c r="AC34" t="s">
        <v>3</v>
      </c>
      <c r="AF34" t="s">
        <v>3</v>
      </c>
      <c r="AI34" t="s">
        <v>3</v>
      </c>
      <c r="AL34" s="1"/>
      <c r="AM34" s="1" t="s">
        <v>82</v>
      </c>
      <c r="AO34" t="s">
        <v>3</v>
      </c>
      <c r="AR34" t="s">
        <v>3</v>
      </c>
      <c r="AT34" s="1"/>
      <c r="AU34" s="1"/>
      <c r="AV34" s="1"/>
      <c r="AW34" s="1"/>
      <c r="AX34" t="s">
        <v>3</v>
      </c>
      <c r="BA34" t="s">
        <v>3</v>
      </c>
      <c r="BD34" t="s">
        <v>3</v>
      </c>
      <c r="BG34" t="s">
        <v>3</v>
      </c>
      <c r="BJ34" t="s">
        <v>3</v>
      </c>
      <c r="BM34" t="s">
        <v>3</v>
      </c>
      <c r="BP34" t="s">
        <v>3</v>
      </c>
      <c r="BS34" t="s">
        <v>3</v>
      </c>
      <c r="BV34" t="s">
        <v>3</v>
      </c>
      <c r="BY34" t="s">
        <v>3</v>
      </c>
      <c r="CB34" t="s">
        <v>3</v>
      </c>
      <c r="CE34" t="s">
        <v>3</v>
      </c>
      <c r="CH34" t="s">
        <v>3</v>
      </c>
      <c r="CK34" t="s">
        <v>3</v>
      </c>
      <c r="CN34" s="1"/>
      <c r="CO34" s="1"/>
      <c r="CP34" s="1"/>
      <c r="CT34">
        <f t="shared" ref="CT34:CT43" si="62">COUNTIF(E34:CS34,"NO")</f>
        <v>0</v>
      </c>
      <c r="CU34" s="15">
        <f t="shared" si="58"/>
        <v>0</v>
      </c>
      <c r="CV34">
        <f t="shared" ref="CV34:CV43" si="63">COUNTIF(E34:CS34,"YES")</f>
        <v>22</v>
      </c>
      <c r="CW34" s="14">
        <f t="shared" si="59"/>
        <v>1</v>
      </c>
      <c r="CX34" t="s">
        <v>3</v>
      </c>
    </row>
    <row r="35" spans="1:103">
      <c r="A35" s="8" t="s">
        <v>135</v>
      </c>
      <c r="B35" s="8" t="s">
        <v>80</v>
      </c>
      <c r="C35" s="8" t="s">
        <v>106</v>
      </c>
      <c r="D35" t="s">
        <v>16</v>
      </c>
      <c r="E35" t="s">
        <v>3</v>
      </c>
      <c r="H35" t="s">
        <v>3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Z35" t="s">
        <v>3</v>
      </c>
      <c r="AC35" t="s">
        <v>3</v>
      </c>
      <c r="AF35" t="s">
        <v>3</v>
      </c>
      <c r="AI35" t="s">
        <v>3</v>
      </c>
      <c r="AL35" s="1"/>
      <c r="AM35" s="1" t="s">
        <v>82</v>
      </c>
      <c r="AO35" t="s">
        <v>3</v>
      </c>
      <c r="AR35" t="s">
        <v>3</v>
      </c>
      <c r="AT35" s="1"/>
      <c r="AU35" s="1"/>
      <c r="AV35" s="1"/>
      <c r="AW35" s="1"/>
      <c r="AX35" t="s">
        <v>3</v>
      </c>
      <c r="BA35" t="s">
        <v>3</v>
      </c>
      <c r="BD35" t="s">
        <v>3</v>
      </c>
      <c r="BG35" t="s">
        <v>3</v>
      </c>
      <c r="BJ35" t="s">
        <v>3</v>
      </c>
      <c r="BM35" t="s">
        <v>3</v>
      </c>
      <c r="BP35" t="s">
        <v>3</v>
      </c>
      <c r="BS35" t="s">
        <v>3</v>
      </c>
      <c r="BV35" t="s">
        <v>3</v>
      </c>
      <c r="BY35" t="s">
        <v>3</v>
      </c>
      <c r="CB35" t="s">
        <v>3</v>
      </c>
      <c r="CE35" t="s">
        <v>3</v>
      </c>
      <c r="CH35" t="s">
        <v>3</v>
      </c>
      <c r="CK35" t="s">
        <v>3</v>
      </c>
      <c r="CN35" s="1"/>
      <c r="CO35" s="1"/>
      <c r="CP35" s="1"/>
      <c r="CT35">
        <f t="shared" si="62"/>
        <v>0</v>
      </c>
      <c r="CU35" s="15">
        <f t="shared" si="58"/>
        <v>0</v>
      </c>
      <c r="CV35">
        <f t="shared" si="63"/>
        <v>22</v>
      </c>
      <c r="CW35" s="14">
        <f t="shared" si="59"/>
        <v>1</v>
      </c>
      <c r="CX35" t="s">
        <v>3</v>
      </c>
    </row>
    <row r="36" spans="1:103">
      <c r="A36" s="8" t="s">
        <v>136</v>
      </c>
      <c r="B36" s="8" t="s">
        <v>25</v>
      </c>
      <c r="C36" s="8" t="s">
        <v>106</v>
      </c>
      <c r="D36" t="s">
        <v>16</v>
      </c>
      <c r="E36" t="s">
        <v>3</v>
      </c>
      <c r="H36" t="s">
        <v>3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Z36" t="s">
        <v>3</v>
      </c>
      <c r="AC36" t="s">
        <v>3</v>
      </c>
      <c r="AF36" t="s">
        <v>3</v>
      </c>
      <c r="AI36" t="s">
        <v>3</v>
      </c>
      <c r="AL36" s="1"/>
      <c r="AM36" s="1" t="s">
        <v>82</v>
      </c>
      <c r="AO36" t="s">
        <v>3</v>
      </c>
      <c r="AR36" t="s">
        <v>3</v>
      </c>
      <c r="AT36" s="1"/>
      <c r="AU36" s="1"/>
      <c r="AV36" s="1"/>
      <c r="AW36" s="1"/>
      <c r="AX36" t="s">
        <v>3</v>
      </c>
      <c r="BA36" t="s">
        <v>3</v>
      </c>
      <c r="BD36" t="s">
        <v>3</v>
      </c>
      <c r="BG36" t="s">
        <v>3</v>
      </c>
      <c r="BJ36" t="s">
        <v>3</v>
      </c>
      <c r="BM36" t="s">
        <v>3</v>
      </c>
      <c r="BP36" t="s">
        <v>3</v>
      </c>
      <c r="BS36" t="s">
        <v>3</v>
      </c>
      <c r="BV36" t="s">
        <v>3</v>
      </c>
      <c r="BY36" t="s">
        <v>3</v>
      </c>
      <c r="CB36" t="s">
        <v>3</v>
      </c>
      <c r="CE36" t="s">
        <v>3</v>
      </c>
      <c r="CH36" t="s">
        <v>3</v>
      </c>
      <c r="CK36" t="s">
        <v>3</v>
      </c>
      <c r="CN36" s="1"/>
      <c r="CO36" s="1"/>
      <c r="CP36" s="1"/>
      <c r="CT36">
        <f t="shared" si="62"/>
        <v>0</v>
      </c>
      <c r="CU36" s="15">
        <f t="shared" si="58"/>
        <v>0</v>
      </c>
      <c r="CV36">
        <f t="shared" si="63"/>
        <v>22</v>
      </c>
      <c r="CW36" s="14">
        <f t="shared" si="59"/>
        <v>1</v>
      </c>
      <c r="CX36" t="s">
        <v>3</v>
      </c>
    </row>
    <row r="37" spans="1:103">
      <c r="A37" s="8" t="s">
        <v>137</v>
      </c>
      <c r="B37" s="8" t="s">
        <v>61</v>
      </c>
      <c r="C37" s="8" t="s">
        <v>106</v>
      </c>
      <c r="D37" t="s">
        <v>16</v>
      </c>
      <c r="E37" t="s">
        <v>3</v>
      </c>
      <c r="H37" t="s">
        <v>3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Z37" t="s">
        <v>3</v>
      </c>
      <c r="AC37" t="s">
        <v>3</v>
      </c>
      <c r="AF37" t="s">
        <v>3</v>
      </c>
      <c r="AI37" t="s">
        <v>3</v>
      </c>
      <c r="AL37" s="1"/>
      <c r="AM37" s="1" t="s">
        <v>82</v>
      </c>
      <c r="AO37" t="s">
        <v>3</v>
      </c>
      <c r="AR37" t="s">
        <v>3</v>
      </c>
      <c r="AT37" s="1"/>
      <c r="AU37" s="1"/>
      <c r="AV37" s="1"/>
      <c r="AW37" s="1"/>
      <c r="AX37" t="s">
        <v>3</v>
      </c>
      <c r="BA37" t="s">
        <v>3</v>
      </c>
      <c r="BD37" t="s">
        <v>3</v>
      </c>
      <c r="BG37" t="s">
        <v>3</v>
      </c>
      <c r="BJ37" t="s">
        <v>3</v>
      </c>
      <c r="BM37" t="s">
        <v>3</v>
      </c>
      <c r="BP37" t="s">
        <v>3</v>
      </c>
      <c r="BS37" t="s">
        <v>3</v>
      </c>
      <c r="BV37" t="s">
        <v>3</v>
      </c>
      <c r="BY37" t="s">
        <v>3</v>
      </c>
      <c r="CB37" t="s">
        <v>3</v>
      </c>
      <c r="CE37" t="s">
        <v>3</v>
      </c>
      <c r="CH37" t="s">
        <v>3</v>
      </c>
      <c r="CK37" t="s">
        <v>3</v>
      </c>
      <c r="CN37" s="1"/>
      <c r="CO37" s="1"/>
      <c r="CP37" s="1"/>
      <c r="CT37">
        <f t="shared" si="62"/>
        <v>0</v>
      </c>
      <c r="CU37" s="15">
        <f t="shared" si="58"/>
        <v>0</v>
      </c>
      <c r="CV37">
        <f t="shared" si="63"/>
        <v>22</v>
      </c>
      <c r="CW37" s="14">
        <f t="shared" si="59"/>
        <v>1</v>
      </c>
      <c r="CX37" t="s">
        <v>3</v>
      </c>
    </row>
    <row r="38" spans="1:103">
      <c r="A38" s="8" t="s">
        <v>138</v>
      </c>
      <c r="B38" s="8" t="s">
        <v>70</v>
      </c>
      <c r="C38" s="8" t="s">
        <v>106</v>
      </c>
      <c r="D38" t="s">
        <v>71</v>
      </c>
      <c r="E38" t="s">
        <v>3</v>
      </c>
      <c r="H38" t="s">
        <v>3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Z38" t="s">
        <v>3</v>
      </c>
      <c r="AC38" t="s">
        <v>3</v>
      </c>
      <c r="AF38" t="s">
        <v>3</v>
      </c>
      <c r="AI38" t="s">
        <v>3</v>
      </c>
      <c r="AL38" s="1"/>
      <c r="AM38" s="1" t="s">
        <v>82</v>
      </c>
      <c r="AO38" t="s">
        <v>3</v>
      </c>
      <c r="AR38" t="s">
        <v>3</v>
      </c>
      <c r="AT38" s="1"/>
      <c r="AU38" s="1"/>
      <c r="AV38" s="1"/>
      <c r="AW38" s="1"/>
      <c r="AX38" t="s">
        <v>3</v>
      </c>
      <c r="BA38" t="s">
        <v>3</v>
      </c>
      <c r="BD38" t="s">
        <v>3</v>
      </c>
      <c r="BG38" t="s">
        <v>3</v>
      </c>
      <c r="BJ38" t="s">
        <v>3</v>
      </c>
      <c r="BM38" t="s">
        <v>3</v>
      </c>
      <c r="BP38" t="s">
        <v>3</v>
      </c>
      <c r="BS38" t="s">
        <v>3</v>
      </c>
      <c r="BV38" t="s">
        <v>3</v>
      </c>
      <c r="BY38" t="s">
        <v>3</v>
      </c>
      <c r="CB38" t="s">
        <v>3</v>
      </c>
      <c r="CE38" t="s">
        <v>3</v>
      </c>
      <c r="CH38" t="s">
        <v>3</v>
      </c>
      <c r="CK38" t="s">
        <v>3</v>
      </c>
      <c r="CN38" s="1"/>
      <c r="CO38" s="1"/>
      <c r="CP38" s="1"/>
      <c r="CT38">
        <f t="shared" si="62"/>
        <v>0</v>
      </c>
      <c r="CU38" s="15">
        <f t="shared" si="58"/>
        <v>0</v>
      </c>
      <c r="CV38">
        <f t="shared" si="63"/>
        <v>22</v>
      </c>
      <c r="CW38" s="14">
        <f t="shared" si="59"/>
        <v>1</v>
      </c>
      <c r="CX38" t="s">
        <v>3</v>
      </c>
    </row>
    <row r="39" spans="1:103">
      <c r="A39" s="8" t="s">
        <v>139</v>
      </c>
      <c r="B39" s="8" t="s">
        <v>21</v>
      </c>
      <c r="C39" s="8" t="s">
        <v>106</v>
      </c>
      <c r="D39" t="s">
        <v>22</v>
      </c>
      <c r="E39" t="s">
        <v>3</v>
      </c>
      <c r="H39" t="s">
        <v>3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Z39" t="s">
        <v>3</v>
      </c>
      <c r="AC39" t="s">
        <v>3</v>
      </c>
      <c r="AF39" t="s">
        <v>3</v>
      </c>
      <c r="AI39" t="s">
        <v>3</v>
      </c>
      <c r="AL39" s="1"/>
      <c r="AM39" s="1" t="s">
        <v>82</v>
      </c>
      <c r="AO39" t="s">
        <v>3</v>
      </c>
      <c r="AR39" t="s">
        <v>3</v>
      </c>
      <c r="AT39" s="1"/>
      <c r="AU39" s="1"/>
      <c r="AV39" s="1"/>
      <c r="AW39" s="1"/>
      <c r="AX39" t="s">
        <v>3</v>
      </c>
      <c r="BA39" t="s">
        <v>3</v>
      </c>
      <c r="BD39" t="s">
        <v>3</v>
      </c>
      <c r="BG39" t="s">
        <v>3</v>
      </c>
      <c r="BJ39" t="s">
        <v>3</v>
      </c>
      <c r="BM39" t="s">
        <v>3</v>
      </c>
      <c r="BP39" t="s">
        <v>3</v>
      </c>
      <c r="BS39" t="s">
        <v>3</v>
      </c>
      <c r="BV39" t="s">
        <v>3</v>
      </c>
      <c r="BY39" t="s">
        <v>3</v>
      </c>
      <c r="CB39" t="s">
        <v>3</v>
      </c>
      <c r="CE39" t="s">
        <v>3</v>
      </c>
      <c r="CH39" t="s">
        <v>3</v>
      </c>
      <c r="CK39" t="s">
        <v>3</v>
      </c>
      <c r="CN39" s="1"/>
      <c r="CO39" s="1"/>
      <c r="CP39" s="1"/>
      <c r="CT39">
        <f t="shared" si="62"/>
        <v>0</v>
      </c>
      <c r="CU39" s="15">
        <f t="shared" si="58"/>
        <v>0</v>
      </c>
      <c r="CV39">
        <f t="shared" si="63"/>
        <v>22</v>
      </c>
      <c r="CW39" s="14">
        <f t="shared" si="59"/>
        <v>1</v>
      </c>
      <c r="CX39" t="s">
        <v>3</v>
      </c>
    </row>
    <row r="40" spans="1:103">
      <c r="A40" s="8" t="s">
        <v>140</v>
      </c>
      <c r="B40" s="9" t="s">
        <v>84</v>
      </c>
      <c r="C40" s="9" t="s">
        <v>106</v>
      </c>
      <c r="D40" s="1" t="s">
        <v>22</v>
      </c>
      <c r="E40" s="1"/>
      <c r="F40" s="1" t="s">
        <v>0</v>
      </c>
      <c r="G40" s="1"/>
      <c r="H40" s="1"/>
      <c r="I40" s="1" t="s">
        <v>0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 t="s">
        <v>0</v>
      </c>
      <c r="AB40" s="1"/>
      <c r="AC40" s="1"/>
      <c r="AD40" s="1" t="s">
        <v>0</v>
      </c>
      <c r="AE40" s="1"/>
      <c r="AF40" s="1"/>
      <c r="AG40" s="1" t="s">
        <v>0</v>
      </c>
      <c r="AH40" s="1"/>
      <c r="AI40" s="1"/>
      <c r="AJ40" s="1" t="s">
        <v>0</v>
      </c>
      <c r="AK40" s="1"/>
      <c r="AL40" s="1"/>
      <c r="AM40" s="1" t="s">
        <v>82</v>
      </c>
      <c r="AN40" s="1"/>
      <c r="AO40" s="1"/>
      <c r="AP40" s="1" t="s">
        <v>0</v>
      </c>
      <c r="AQ40" s="1"/>
      <c r="AR40" s="1"/>
      <c r="AS40" s="1" t="s">
        <v>0</v>
      </c>
      <c r="AT40" s="1"/>
      <c r="AU40" s="1"/>
      <c r="AV40" s="1"/>
      <c r="AW40" s="1"/>
      <c r="AX40" s="1"/>
      <c r="AY40" s="1" t="s">
        <v>0</v>
      </c>
      <c r="AZ40" s="1"/>
      <c r="BA40" s="1"/>
      <c r="BB40" s="1" t="s">
        <v>0</v>
      </c>
      <c r="BC40" s="1"/>
      <c r="BD40" s="1"/>
      <c r="BE40" s="1" t="s">
        <v>0</v>
      </c>
      <c r="BF40" s="1"/>
      <c r="BG40" s="1"/>
      <c r="BH40" s="1" t="s">
        <v>0</v>
      </c>
      <c r="BI40" s="1"/>
      <c r="BJ40" s="1"/>
      <c r="BK40" s="1" t="s">
        <v>0</v>
      </c>
      <c r="BL40" s="1"/>
      <c r="BM40" s="1"/>
      <c r="BN40" s="1" t="s">
        <v>0</v>
      </c>
      <c r="BO40" s="1"/>
      <c r="BP40" s="1"/>
      <c r="BQ40" s="1" t="s">
        <v>0</v>
      </c>
      <c r="BR40" s="1"/>
      <c r="BS40" s="11"/>
      <c r="BT40" s="11" t="s">
        <v>0</v>
      </c>
      <c r="BU40" s="11"/>
      <c r="BV40" s="1"/>
      <c r="BW40" s="1" t="s">
        <v>0</v>
      </c>
      <c r="BX40" s="1"/>
      <c r="BY40" s="5"/>
      <c r="BZ40" s="5" t="s">
        <v>0</v>
      </c>
      <c r="CA40" s="5"/>
      <c r="CB40" s="1"/>
      <c r="CC40" s="1" t="s">
        <v>0</v>
      </c>
      <c r="CD40" s="1"/>
      <c r="CE40" s="1"/>
      <c r="CF40" s="1" t="s">
        <v>0</v>
      </c>
      <c r="CG40" s="1"/>
      <c r="CH40" s="1"/>
      <c r="CI40" s="1" t="s">
        <v>0</v>
      </c>
      <c r="CJ40" s="5"/>
      <c r="CK40" s="5"/>
      <c r="CL40" s="5" t="s">
        <v>0</v>
      </c>
      <c r="CM40" s="5"/>
      <c r="CN40" s="1"/>
      <c r="CO40" s="1"/>
      <c r="CP40" s="1"/>
      <c r="CT40">
        <f t="shared" si="62"/>
        <v>22</v>
      </c>
      <c r="CU40" s="15">
        <f t="shared" si="58"/>
        <v>1</v>
      </c>
      <c r="CV40">
        <f t="shared" si="63"/>
        <v>0</v>
      </c>
      <c r="CW40" s="14">
        <f t="shared" si="59"/>
        <v>0</v>
      </c>
      <c r="CY40" t="s">
        <v>0</v>
      </c>
    </row>
    <row r="41" spans="1:103">
      <c r="A41" s="8" t="s">
        <v>141</v>
      </c>
      <c r="B41" s="8" t="s">
        <v>56</v>
      </c>
      <c r="C41" s="8" t="s">
        <v>106</v>
      </c>
      <c r="D41" t="s">
        <v>22</v>
      </c>
      <c r="E41" t="s">
        <v>3</v>
      </c>
      <c r="H41" s="1"/>
      <c r="I41" s="1" t="s">
        <v>0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 t="s">
        <v>0</v>
      </c>
      <c r="AB41" s="1"/>
      <c r="AC41" s="1"/>
      <c r="AD41" s="1" t="s">
        <v>0</v>
      </c>
      <c r="AE41" s="1"/>
      <c r="AF41" s="1"/>
      <c r="AG41" s="1" t="s">
        <v>0</v>
      </c>
      <c r="AH41" s="1"/>
      <c r="AI41" s="1"/>
      <c r="AJ41" s="1" t="s">
        <v>0</v>
      </c>
      <c r="AK41" s="1"/>
      <c r="AL41" s="1"/>
      <c r="AM41" s="1" t="s">
        <v>82</v>
      </c>
      <c r="AN41" s="1"/>
      <c r="AO41" s="1"/>
      <c r="AP41" s="1" t="s">
        <v>0</v>
      </c>
      <c r="AQ41" s="1"/>
      <c r="AR41" s="1"/>
      <c r="AS41" s="1" t="s">
        <v>0</v>
      </c>
      <c r="AT41" s="1"/>
      <c r="AU41" s="1"/>
      <c r="AV41" s="1"/>
      <c r="AW41" s="1"/>
      <c r="AX41" s="1"/>
      <c r="AY41" s="1" t="s">
        <v>0</v>
      </c>
      <c r="AZ41" s="1"/>
      <c r="BA41" s="1"/>
      <c r="BB41" s="1" t="s">
        <v>0</v>
      </c>
      <c r="BC41" s="1"/>
      <c r="BD41" s="1"/>
      <c r="BE41" s="1" t="s">
        <v>0</v>
      </c>
      <c r="BF41" s="1"/>
      <c r="BG41" s="1"/>
      <c r="BH41" s="1" t="s">
        <v>0</v>
      </c>
      <c r="BI41" s="1"/>
      <c r="BJ41" s="1"/>
      <c r="BK41" s="1" t="s">
        <v>0</v>
      </c>
      <c r="BL41" s="1"/>
      <c r="BM41" s="1"/>
      <c r="BN41" s="1" t="s">
        <v>0</v>
      </c>
      <c r="BO41" s="1"/>
      <c r="BP41" s="1"/>
      <c r="BQ41" s="1" t="s">
        <v>0</v>
      </c>
      <c r="BR41" s="1"/>
      <c r="BS41" s="1"/>
      <c r="BT41" s="1" t="s">
        <v>0</v>
      </c>
      <c r="BU41" s="1"/>
      <c r="BV41" s="1"/>
      <c r="BW41" s="1" t="s">
        <v>0</v>
      </c>
      <c r="BX41" s="1"/>
      <c r="BY41" s="5"/>
      <c r="BZ41" s="5" t="s">
        <v>0</v>
      </c>
      <c r="CA41" s="5"/>
      <c r="CB41" s="1"/>
      <c r="CC41" s="1" t="s">
        <v>0</v>
      </c>
      <c r="CD41" s="1"/>
      <c r="CE41" s="1"/>
      <c r="CF41" s="1" t="s">
        <v>0</v>
      </c>
      <c r="CG41" s="1"/>
      <c r="CH41" s="1"/>
      <c r="CI41" s="1" t="s">
        <v>0</v>
      </c>
      <c r="CJ41" s="5"/>
      <c r="CK41" s="5"/>
      <c r="CL41" s="5" t="s">
        <v>0</v>
      </c>
      <c r="CM41" s="5"/>
      <c r="CN41" s="1"/>
      <c r="CO41" s="1"/>
      <c r="CP41" s="1"/>
      <c r="CT41">
        <f t="shared" si="62"/>
        <v>21</v>
      </c>
      <c r="CU41" s="15">
        <f t="shared" si="58"/>
        <v>0.95454545454545459</v>
      </c>
      <c r="CV41">
        <f t="shared" si="63"/>
        <v>1</v>
      </c>
      <c r="CW41" s="14">
        <f t="shared" si="59"/>
        <v>4.5454545454545456E-2</v>
      </c>
      <c r="CY41" t="s">
        <v>0</v>
      </c>
    </row>
    <row r="42" spans="1:103">
      <c r="A42" s="8" t="s">
        <v>142</v>
      </c>
      <c r="B42" s="8" t="s">
        <v>27</v>
      </c>
      <c r="C42" s="8" t="s">
        <v>106</v>
      </c>
      <c r="D42" t="s">
        <v>28</v>
      </c>
      <c r="E42" t="s">
        <v>3</v>
      </c>
      <c r="H42" t="s">
        <v>3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Z42" t="s">
        <v>3</v>
      </c>
      <c r="AC42" t="s">
        <v>3</v>
      </c>
      <c r="AF42" t="s">
        <v>3</v>
      </c>
      <c r="AI42" t="s">
        <v>3</v>
      </c>
      <c r="AL42" s="1"/>
      <c r="AM42" s="1" t="s">
        <v>82</v>
      </c>
      <c r="AO42" t="s">
        <v>3</v>
      </c>
      <c r="AR42" t="s">
        <v>3</v>
      </c>
      <c r="AT42" s="1"/>
      <c r="AU42" s="1"/>
      <c r="AV42" s="1"/>
      <c r="AW42" s="1"/>
      <c r="AX42" t="s">
        <v>3</v>
      </c>
      <c r="BA42" t="s">
        <v>3</v>
      </c>
      <c r="BD42" t="s">
        <v>3</v>
      </c>
      <c r="BG42" t="s">
        <v>3</v>
      </c>
      <c r="BJ42" t="s">
        <v>3</v>
      </c>
      <c r="BM42" t="s">
        <v>3</v>
      </c>
      <c r="BP42" t="s">
        <v>3</v>
      </c>
      <c r="BS42" t="s">
        <v>3</v>
      </c>
      <c r="BV42" t="s">
        <v>3</v>
      </c>
      <c r="BY42" t="s">
        <v>3</v>
      </c>
      <c r="CB42" t="s">
        <v>3</v>
      </c>
      <c r="CE42" t="s">
        <v>3</v>
      </c>
      <c r="CH42" t="s">
        <v>3</v>
      </c>
      <c r="CK42" t="s">
        <v>3</v>
      </c>
      <c r="CN42" s="1"/>
      <c r="CO42" s="1"/>
      <c r="CP42" s="1"/>
      <c r="CT42">
        <f t="shared" si="62"/>
        <v>0</v>
      </c>
      <c r="CU42" s="15">
        <f t="shared" si="58"/>
        <v>0</v>
      </c>
      <c r="CV42">
        <f t="shared" si="63"/>
        <v>22</v>
      </c>
      <c r="CW42" s="14">
        <f t="shared" si="59"/>
        <v>1</v>
      </c>
      <c r="CX42" t="s">
        <v>3</v>
      </c>
    </row>
    <row r="43" spans="1:103">
      <c r="A43" s="8" t="s">
        <v>143</v>
      </c>
      <c r="B43" s="8" t="s">
        <v>66</v>
      </c>
      <c r="C43" s="8" t="s">
        <v>106</v>
      </c>
      <c r="D43" t="s">
        <v>67</v>
      </c>
      <c r="E43" t="s">
        <v>3</v>
      </c>
      <c r="H43" t="s">
        <v>3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Z43" t="s">
        <v>3</v>
      </c>
      <c r="AC43" t="s">
        <v>3</v>
      </c>
      <c r="AF43" t="s">
        <v>3</v>
      </c>
      <c r="AI43" t="s">
        <v>3</v>
      </c>
      <c r="AL43" s="1"/>
      <c r="AM43" s="1" t="s">
        <v>82</v>
      </c>
      <c r="AO43" t="s">
        <v>3</v>
      </c>
      <c r="AR43" t="s">
        <v>3</v>
      </c>
      <c r="AT43" s="1"/>
      <c r="AU43" s="1"/>
      <c r="AV43" s="1"/>
      <c r="AW43" s="1"/>
      <c r="AX43" t="s">
        <v>3</v>
      </c>
      <c r="BA43" t="s">
        <v>3</v>
      </c>
      <c r="BD43" t="s">
        <v>3</v>
      </c>
      <c r="BG43" t="s">
        <v>3</v>
      </c>
      <c r="BJ43" t="s">
        <v>3</v>
      </c>
      <c r="BM43" t="s">
        <v>3</v>
      </c>
      <c r="BP43" t="s">
        <v>3</v>
      </c>
      <c r="BS43" t="s">
        <v>3</v>
      </c>
      <c r="BV43" t="s">
        <v>3</v>
      </c>
      <c r="BY43" t="s">
        <v>3</v>
      </c>
      <c r="CB43" t="s">
        <v>3</v>
      </c>
      <c r="CE43" t="s">
        <v>3</v>
      </c>
      <c r="CH43" t="s">
        <v>3</v>
      </c>
      <c r="CK43" t="s">
        <v>3</v>
      </c>
      <c r="CN43" s="1"/>
      <c r="CO43" s="1"/>
      <c r="CP43" s="1"/>
      <c r="CT43">
        <f t="shared" si="62"/>
        <v>0</v>
      </c>
      <c r="CU43" s="15">
        <f t="shared" si="58"/>
        <v>0</v>
      </c>
      <c r="CV43">
        <f t="shared" si="63"/>
        <v>22</v>
      </c>
      <c r="CW43" s="14">
        <f t="shared" si="59"/>
        <v>1</v>
      </c>
      <c r="CX43" t="s">
        <v>3</v>
      </c>
    </row>
    <row r="44" spans="1:103">
      <c r="A44" s="18" t="s">
        <v>106</v>
      </c>
      <c r="B44" s="18" t="s">
        <v>106</v>
      </c>
      <c r="C44" s="18"/>
      <c r="D44" s="16"/>
      <c r="E44" s="16"/>
      <c r="F44" s="16"/>
      <c r="G44" s="16"/>
      <c r="H44" s="16"/>
      <c r="I44" s="16"/>
      <c r="J44" s="16"/>
      <c r="K44" s="1"/>
      <c r="L44" s="1"/>
      <c r="M44" s="1"/>
      <c r="N44" s="1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"/>
      <c r="AU44" s="1"/>
      <c r="AV44" s="1"/>
      <c r="AW44" s="1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"/>
      <c r="CO44" s="1"/>
      <c r="CP44" s="1"/>
      <c r="CQ44" s="16"/>
      <c r="CR44" s="16"/>
      <c r="CS44" s="16"/>
      <c r="CT44" s="16"/>
      <c r="CU44" s="17">
        <f>AVERAGE(CU28:CU43)</f>
        <v>0.28444602272727271</v>
      </c>
      <c r="CV44" s="17"/>
      <c r="CW44" s="17">
        <f>AVERAGE(CW28:CW43)</f>
        <v>0.71555397727272718</v>
      </c>
    </row>
    <row r="45" spans="1:103">
      <c r="A45" s="8" t="s">
        <v>144</v>
      </c>
      <c r="B45" s="8" t="s">
        <v>51</v>
      </c>
      <c r="C45" s="8" t="s">
        <v>104</v>
      </c>
      <c r="D45" t="s">
        <v>52</v>
      </c>
      <c r="E45" t="s">
        <v>3</v>
      </c>
      <c r="H45" t="s">
        <v>3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Z45" t="s">
        <v>3</v>
      </c>
      <c r="AC45" t="s">
        <v>3</v>
      </c>
      <c r="AF45" t="s">
        <v>3</v>
      </c>
      <c r="AI45" t="s">
        <v>3</v>
      </c>
      <c r="AL45" s="1"/>
      <c r="AM45" s="1" t="s">
        <v>82</v>
      </c>
      <c r="AO45" t="s">
        <v>3</v>
      </c>
      <c r="AR45" t="s">
        <v>3</v>
      </c>
      <c r="AT45" s="1"/>
      <c r="AU45" s="1"/>
      <c r="AV45" s="1"/>
      <c r="AW45" s="1"/>
      <c r="AX45" t="s">
        <v>3</v>
      </c>
      <c r="BA45" t="s">
        <v>3</v>
      </c>
      <c r="BD45" t="s">
        <v>3</v>
      </c>
      <c r="BG45" t="s">
        <v>3</v>
      </c>
      <c r="BJ45" t="s">
        <v>3</v>
      </c>
      <c r="BM45" t="s">
        <v>3</v>
      </c>
      <c r="BP45" t="s">
        <v>3</v>
      </c>
      <c r="BS45" t="s">
        <v>3</v>
      </c>
      <c r="BV45" t="s">
        <v>3</v>
      </c>
      <c r="BY45" t="s">
        <v>3</v>
      </c>
      <c r="CB45" t="s">
        <v>3</v>
      </c>
      <c r="CE45" t="s">
        <v>3</v>
      </c>
      <c r="CH45" t="s">
        <v>3</v>
      </c>
      <c r="CK45" t="s">
        <v>3</v>
      </c>
      <c r="CN45" s="1"/>
      <c r="CO45" s="1"/>
      <c r="CP45" s="1"/>
      <c r="CT45">
        <f t="shared" ref="CT45:CT52" si="64">COUNTIF(E45:CS45,"NO")</f>
        <v>0</v>
      </c>
      <c r="CU45" s="15">
        <f t="shared" si="58"/>
        <v>0</v>
      </c>
      <c r="CV45">
        <f t="shared" ref="CV45:CV52" si="65">COUNTIF(E45:CS45,"YES")</f>
        <v>22</v>
      </c>
      <c r="CW45" s="14">
        <f t="shared" si="59"/>
        <v>1</v>
      </c>
      <c r="CX45" t="s">
        <v>3</v>
      </c>
    </row>
    <row r="46" spans="1:103">
      <c r="A46" s="8" t="s">
        <v>145</v>
      </c>
      <c r="B46" s="8" t="s">
        <v>17</v>
      </c>
      <c r="C46" s="8" t="s">
        <v>104</v>
      </c>
      <c r="D46" t="s">
        <v>18</v>
      </c>
      <c r="E46" t="s">
        <v>3</v>
      </c>
      <c r="H46" t="s">
        <v>3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Z46" t="s">
        <v>3</v>
      </c>
      <c r="AC46" t="s">
        <v>3</v>
      </c>
      <c r="AF46" t="s">
        <v>3</v>
      </c>
      <c r="AI46" t="s">
        <v>3</v>
      </c>
      <c r="AL46" s="1"/>
      <c r="AM46" s="1" t="s">
        <v>82</v>
      </c>
      <c r="AO46" t="s">
        <v>3</v>
      </c>
      <c r="AR46" t="s">
        <v>3</v>
      </c>
      <c r="AT46" s="1"/>
      <c r="AU46" s="1"/>
      <c r="AV46" s="1"/>
      <c r="AW46" s="1"/>
      <c r="AX46" t="s">
        <v>3</v>
      </c>
      <c r="BA46" t="s">
        <v>3</v>
      </c>
      <c r="BD46" t="s">
        <v>3</v>
      </c>
      <c r="BG46" t="s">
        <v>3</v>
      </c>
      <c r="BJ46" t="s">
        <v>3</v>
      </c>
      <c r="BM46" t="s">
        <v>3</v>
      </c>
      <c r="BP46" t="s">
        <v>3</v>
      </c>
      <c r="BS46" t="s">
        <v>3</v>
      </c>
      <c r="BV46" t="s">
        <v>3</v>
      </c>
      <c r="BY46" t="s">
        <v>3</v>
      </c>
      <c r="CB46" t="s">
        <v>3</v>
      </c>
      <c r="CE46" t="s">
        <v>3</v>
      </c>
      <c r="CH46" t="s">
        <v>3</v>
      </c>
      <c r="CK46" t="s">
        <v>3</v>
      </c>
      <c r="CN46" s="1"/>
      <c r="CO46" s="1"/>
      <c r="CP46" s="1"/>
      <c r="CT46">
        <f t="shared" si="64"/>
        <v>0</v>
      </c>
      <c r="CU46" s="15">
        <f t="shared" si="58"/>
        <v>0</v>
      </c>
      <c r="CV46">
        <f t="shared" si="65"/>
        <v>22</v>
      </c>
      <c r="CW46" s="14">
        <f t="shared" si="59"/>
        <v>1</v>
      </c>
      <c r="CX46" t="s">
        <v>3</v>
      </c>
    </row>
    <row r="47" spans="1:103">
      <c r="A47" s="8" t="s">
        <v>146</v>
      </c>
      <c r="B47" s="8" t="s">
        <v>68</v>
      </c>
      <c r="C47" s="8" t="s">
        <v>104</v>
      </c>
      <c r="D47" t="s">
        <v>18</v>
      </c>
      <c r="E47" s="1"/>
      <c r="F47" s="1" t="s">
        <v>0</v>
      </c>
      <c r="H47" t="s">
        <v>3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Z47" t="s">
        <v>3</v>
      </c>
      <c r="AC47" t="s">
        <v>3</v>
      </c>
      <c r="AF47" s="1"/>
      <c r="AG47" s="1" t="s">
        <v>0</v>
      </c>
      <c r="AI47" t="s">
        <v>3</v>
      </c>
      <c r="AL47" s="1"/>
      <c r="AM47" s="1" t="s">
        <v>82</v>
      </c>
      <c r="AN47" s="1"/>
      <c r="AO47" s="1"/>
      <c r="AP47" s="1" t="s">
        <v>0</v>
      </c>
      <c r="AQ47" s="1"/>
      <c r="AR47" s="1"/>
      <c r="AS47" s="1" t="s">
        <v>0</v>
      </c>
      <c r="AT47" s="1"/>
      <c r="AU47" s="1"/>
      <c r="AV47" s="1"/>
      <c r="AW47" s="1"/>
      <c r="AX47" t="s">
        <v>3</v>
      </c>
      <c r="BA47" t="s">
        <v>3</v>
      </c>
      <c r="BD47" t="s">
        <v>3</v>
      </c>
      <c r="BG47" t="s">
        <v>3</v>
      </c>
      <c r="BJ47" t="s">
        <v>3</v>
      </c>
      <c r="BM47" t="s">
        <v>3</v>
      </c>
      <c r="BP47" s="1"/>
      <c r="BQ47" s="1" t="s">
        <v>0</v>
      </c>
      <c r="BR47" s="1"/>
      <c r="BS47" t="s">
        <v>3</v>
      </c>
      <c r="BV47" s="1"/>
      <c r="BW47" s="1" t="s">
        <v>0</v>
      </c>
      <c r="BX47" s="1"/>
      <c r="BY47" s="5"/>
      <c r="BZ47" s="5" t="s">
        <v>0</v>
      </c>
      <c r="CA47" s="5"/>
      <c r="CB47" s="1"/>
      <c r="CC47" s="1" t="s">
        <v>0</v>
      </c>
      <c r="CD47" s="1"/>
      <c r="CE47" s="1"/>
      <c r="CF47" s="1" t="s">
        <v>0</v>
      </c>
      <c r="CG47" s="1"/>
      <c r="CH47" s="1"/>
      <c r="CI47" s="1" t="s">
        <v>0</v>
      </c>
      <c r="CJ47" s="5"/>
      <c r="CK47" s="5"/>
      <c r="CL47" s="5" t="s">
        <v>0</v>
      </c>
      <c r="CM47" s="5"/>
      <c r="CN47" s="1"/>
      <c r="CO47" s="1"/>
      <c r="CP47" s="1"/>
      <c r="CT47">
        <f t="shared" si="64"/>
        <v>11</v>
      </c>
      <c r="CU47" s="15">
        <f t="shared" si="58"/>
        <v>0.5</v>
      </c>
      <c r="CV47">
        <f t="shared" si="65"/>
        <v>11</v>
      </c>
      <c r="CW47" s="14">
        <f t="shared" si="59"/>
        <v>0.5</v>
      </c>
      <c r="CY47" t="s">
        <v>0</v>
      </c>
    </row>
    <row r="48" spans="1:103">
      <c r="A48" s="8" t="s">
        <v>147</v>
      </c>
      <c r="B48" s="8" t="s">
        <v>13</v>
      </c>
      <c r="C48" s="8" t="s">
        <v>104</v>
      </c>
      <c r="D48" t="s">
        <v>14</v>
      </c>
      <c r="E48" t="s">
        <v>3</v>
      </c>
      <c r="H48" t="s">
        <v>3</v>
      </c>
      <c r="K48" s="1"/>
      <c r="L48" s="1"/>
      <c r="M48" s="1"/>
      <c r="N48" s="1"/>
      <c r="O48" s="12"/>
      <c r="P48" s="12"/>
      <c r="Q48" s="12"/>
      <c r="R48" s="12"/>
      <c r="S48" s="12"/>
      <c r="T48" s="12"/>
      <c r="U48" s="12"/>
      <c r="V48" s="12"/>
      <c r="W48" s="12"/>
      <c r="X48" s="12"/>
      <c r="Z48" t="s">
        <v>3</v>
      </c>
      <c r="AC48" t="s">
        <v>3</v>
      </c>
      <c r="AF48" t="s">
        <v>3</v>
      </c>
      <c r="AI48" t="s">
        <v>3</v>
      </c>
      <c r="AL48" s="1"/>
      <c r="AM48" s="1" t="s">
        <v>82</v>
      </c>
      <c r="AO48" t="s">
        <v>3</v>
      </c>
      <c r="AR48" t="s">
        <v>3</v>
      </c>
      <c r="AT48" s="1"/>
      <c r="AU48" s="1"/>
      <c r="AV48" s="1"/>
      <c r="AW48" s="1"/>
      <c r="AX48" t="s">
        <v>3</v>
      </c>
      <c r="BA48" t="s">
        <v>3</v>
      </c>
      <c r="BD48" t="s">
        <v>3</v>
      </c>
      <c r="BG48" t="s">
        <v>3</v>
      </c>
      <c r="BJ48" t="s">
        <v>3</v>
      </c>
      <c r="BM48" t="s">
        <v>3</v>
      </c>
      <c r="BP48" t="s">
        <v>3</v>
      </c>
      <c r="BS48" t="s">
        <v>3</v>
      </c>
      <c r="BV48" t="s">
        <v>3</v>
      </c>
      <c r="BY48" t="s">
        <v>3</v>
      </c>
      <c r="CB48" t="s">
        <v>3</v>
      </c>
      <c r="CE48" t="s">
        <v>3</v>
      </c>
      <c r="CH48" t="s">
        <v>3</v>
      </c>
      <c r="CK48" t="s">
        <v>3</v>
      </c>
      <c r="CN48" s="1"/>
      <c r="CO48" s="1"/>
      <c r="CP48" s="1"/>
      <c r="CT48">
        <f t="shared" si="64"/>
        <v>0</v>
      </c>
      <c r="CU48" s="15">
        <f t="shared" si="58"/>
        <v>0</v>
      </c>
      <c r="CV48">
        <f t="shared" si="65"/>
        <v>22</v>
      </c>
      <c r="CW48" s="14">
        <f t="shared" si="59"/>
        <v>1</v>
      </c>
      <c r="CX48" t="s">
        <v>3</v>
      </c>
    </row>
    <row r="49" spans="1:103">
      <c r="A49" s="8" t="s">
        <v>148</v>
      </c>
      <c r="B49" s="8" t="s">
        <v>34</v>
      </c>
      <c r="C49" s="8" t="s">
        <v>104</v>
      </c>
      <c r="D49" t="s">
        <v>35</v>
      </c>
      <c r="E49" t="s">
        <v>3</v>
      </c>
      <c r="H49" t="s">
        <v>3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Z49" t="s">
        <v>3</v>
      </c>
      <c r="AC49" t="s">
        <v>3</v>
      </c>
      <c r="AF49" t="s">
        <v>3</v>
      </c>
      <c r="AI49" t="s">
        <v>3</v>
      </c>
      <c r="AL49" s="1"/>
      <c r="AM49" s="1" t="s">
        <v>82</v>
      </c>
      <c r="AO49" t="s">
        <v>3</v>
      </c>
      <c r="AR49" t="s">
        <v>3</v>
      </c>
      <c r="AT49" s="1"/>
      <c r="AU49" s="1"/>
      <c r="AV49" s="1"/>
      <c r="AW49" s="1"/>
      <c r="AX49" t="s">
        <v>3</v>
      </c>
      <c r="BA49" t="s">
        <v>3</v>
      </c>
      <c r="BD49" t="s">
        <v>3</v>
      </c>
      <c r="BG49" t="s">
        <v>3</v>
      </c>
      <c r="BJ49" t="s">
        <v>3</v>
      </c>
      <c r="BM49" t="s">
        <v>3</v>
      </c>
      <c r="BP49" t="s">
        <v>3</v>
      </c>
      <c r="BS49" t="s">
        <v>3</v>
      </c>
      <c r="BV49" t="s">
        <v>3</v>
      </c>
      <c r="BY49" t="s">
        <v>3</v>
      </c>
      <c r="CB49" t="s">
        <v>3</v>
      </c>
      <c r="CE49" t="s">
        <v>3</v>
      </c>
      <c r="CH49" t="s">
        <v>3</v>
      </c>
      <c r="CK49" t="s">
        <v>3</v>
      </c>
      <c r="CN49" s="1"/>
      <c r="CO49" s="1"/>
      <c r="CP49" s="1"/>
      <c r="CT49">
        <f t="shared" si="64"/>
        <v>0</v>
      </c>
      <c r="CU49" s="15">
        <f t="shared" si="58"/>
        <v>0</v>
      </c>
      <c r="CV49">
        <f t="shared" si="65"/>
        <v>22</v>
      </c>
      <c r="CW49" s="14">
        <f t="shared" si="59"/>
        <v>1</v>
      </c>
      <c r="CX49" t="s">
        <v>3</v>
      </c>
    </row>
    <row r="50" spans="1:103">
      <c r="A50" s="8" t="s">
        <v>149</v>
      </c>
      <c r="B50" s="8" t="s">
        <v>40</v>
      </c>
      <c r="C50" s="8" t="s">
        <v>104</v>
      </c>
      <c r="D50" t="s">
        <v>35</v>
      </c>
      <c r="E50" t="s">
        <v>3</v>
      </c>
      <c r="H50" t="s">
        <v>3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Z50" t="s">
        <v>3</v>
      </c>
      <c r="AC50" t="s">
        <v>3</v>
      </c>
      <c r="AF50" t="s">
        <v>3</v>
      </c>
      <c r="AI50" t="s">
        <v>3</v>
      </c>
      <c r="AL50" s="1"/>
      <c r="AM50" s="1" t="s">
        <v>82</v>
      </c>
      <c r="AO50" t="s">
        <v>3</v>
      </c>
      <c r="AR50" t="s">
        <v>3</v>
      </c>
      <c r="AT50" s="1"/>
      <c r="AU50" s="1"/>
      <c r="AV50" s="1"/>
      <c r="AW50" s="1"/>
      <c r="AX50" t="s">
        <v>3</v>
      </c>
      <c r="BA50" t="s">
        <v>3</v>
      </c>
      <c r="BD50" t="s">
        <v>3</v>
      </c>
      <c r="BG50" t="s">
        <v>3</v>
      </c>
      <c r="BJ50" t="s">
        <v>3</v>
      </c>
      <c r="BM50" t="s">
        <v>3</v>
      </c>
      <c r="BP50" t="s">
        <v>3</v>
      </c>
      <c r="BS50" t="s">
        <v>3</v>
      </c>
      <c r="BV50" t="s">
        <v>3</v>
      </c>
      <c r="BY50" t="s">
        <v>3</v>
      </c>
      <c r="CB50" t="s">
        <v>3</v>
      </c>
      <c r="CE50" t="s">
        <v>3</v>
      </c>
      <c r="CH50" t="s">
        <v>3</v>
      </c>
      <c r="CK50" t="s">
        <v>3</v>
      </c>
      <c r="CN50" s="1"/>
      <c r="CO50" s="1"/>
      <c r="CP50" s="1"/>
      <c r="CT50">
        <f t="shared" si="64"/>
        <v>0</v>
      </c>
      <c r="CU50" s="15">
        <f t="shared" si="58"/>
        <v>0</v>
      </c>
      <c r="CV50">
        <f t="shared" si="65"/>
        <v>22</v>
      </c>
      <c r="CW50" s="14">
        <f t="shared" si="59"/>
        <v>1</v>
      </c>
      <c r="CX50" t="s">
        <v>3</v>
      </c>
    </row>
    <row r="51" spans="1:103">
      <c r="A51" s="8" t="s">
        <v>150</v>
      </c>
      <c r="B51" s="8" t="s">
        <v>62</v>
      </c>
      <c r="C51" s="8" t="s">
        <v>104</v>
      </c>
      <c r="D51" t="s">
        <v>63</v>
      </c>
      <c r="E51" t="s">
        <v>3</v>
      </c>
      <c r="H51" t="s">
        <v>3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Z51" t="s">
        <v>3</v>
      </c>
      <c r="AC51" t="s">
        <v>3</v>
      </c>
      <c r="AF51" t="s">
        <v>3</v>
      </c>
      <c r="AI51" t="s">
        <v>3</v>
      </c>
      <c r="AL51" s="1"/>
      <c r="AM51" s="1" t="s">
        <v>82</v>
      </c>
      <c r="AO51" t="s">
        <v>3</v>
      </c>
      <c r="AR51" t="s">
        <v>3</v>
      </c>
      <c r="AT51" s="1"/>
      <c r="AU51" s="1"/>
      <c r="AV51" s="1"/>
      <c r="AW51" s="1"/>
      <c r="AX51" t="s">
        <v>3</v>
      </c>
      <c r="BA51" t="s">
        <v>3</v>
      </c>
      <c r="BD51" t="s">
        <v>3</v>
      </c>
      <c r="BG51" t="s">
        <v>3</v>
      </c>
      <c r="BJ51" t="s">
        <v>3</v>
      </c>
      <c r="BM51" t="s">
        <v>3</v>
      </c>
      <c r="BP51" t="s">
        <v>3</v>
      </c>
      <c r="BS51" t="s">
        <v>3</v>
      </c>
      <c r="BV51" t="s">
        <v>3</v>
      </c>
      <c r="BY51" t="s">
        <v>3</v>
      </c>
      <c r="CB51" t="s">
        <v>3</v>
      </c>
      <c r="CE51" t="s">
        <v>3</v>
      </c>
      <c r="CH51" t="s">
        <v>3</v>
      </c>
      <c r="CK51" t="s">
        <v>3</v>
      </c>
      <c r="CN51" s="1"/>
      <c r="CO51" s="1"/>
      <c r="CP51" s="1"/>
      <c r="CT51">
        <f t="shared" si="64"/>
        <v>0</v>
      </c>
      <c r="CU51" s="15">
        <f t="shared" si="58"/>
        <v>0</v>
      </c>
      <c r="CV51">
        <f t="shared" si="65"/>
        <v>22</v>
      </c>
      <c r="CW51" s="14">
        <f t="shared" si="59"/>
        <v>1</v>
      </c>
      <c r="CX51" t="s">
        <v>3</v>
      </c>
    </row>
    <row r="52" spans="1:103">
      <c r="A52" s="8" t="s">
        <v>151</v>
      </c>
      <c r="B52" s="8" t="s">
        <v>23</v>
      </c>
      <c r="C52" s="8" t="s">
        <v>104</v>
      </c>
      <c r="D52" t="s">
        <v>24</v>
      </c>
      <c r="E52" t="s">
        <v>3</v>
      </c>
      <c r="H52" t="s">
        <v>3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Z52" t="s">
        <v>3</v>
      </c>
      <c r="AC52" t="s">
        <v>3</v>
      </c>
      <c r="AF52" t="s">
        <v>3</v>
      </c>
      <c r="AI52" t="s">
        <v>3</v>
      </c>
      <c r="AL52" s="1"/>
      <c r="AM52" s="1" t="s">
        <v>82</v>
      </c>
      <c r="AO52" t="s">
        <v>3</v>
      </c>
      <c r="AR52" t="s">
        <v>3</v>
      </c>
      <c r="AT52" s="1"/>
      <c r="AU52" s="1"/>
      <c r="AV52" s="1"/>
      <c r="AW52" s="1"/>
      <c r="AX52" t="s">
        <v>3</v>
      </c>
      <c r="BA52" t="s">
        <v>3</v>
      </c>
      <c r="BD52" t="s">
        <v>3</v>
      </c>
      <c r="BG52" t="s">
        <v>3</v>
      </c>
      <c r="BJ52" t="s">
        <v>3</v>
      </c>
      <c r="BM52" t="s">
        <v>3</v>
      </c>
      <c r="BP52" t="s">
        <v>3</v>
      </c>
      <c r="BS52" t="s">
        <v>3</v>
      </c>
      <c r="BV52" t="s">
        <v>3</v>
      </c>
      <c r="BY52" t="s">
        <v>3</v>
      </c>
      <c r="CB52" t="s">
        <v>3</v>
      </c>
      <c r="CE52" t="s">
        <v>3</v>
      </c>
      <c r="CH52" t="s">
        <v>3</v>
      </c>
      <c r="CK52" t="s">
        <v>3</v>
      </c>
      <c r="CN52" s="1"/>
      <c r="CO52" s="1"/>
      <c r="CP52" s="1"/>
      <c r="CT52">
        <f t="shared" si="64"/>
        <v>0</v>
      </c>
      <c r="CU52" s="15">
        <f t="shared" si="58"/>
        <v>0</v>
      </c>
      <c r="CV52">
        <f t="shared" si="65"/>
        <v>22</v>
      </c>
      <c r="CW52" s="14">
        <f t="shared" si="59"/>
        <v>1</v>
      </c>
      <c r="CX52" t="s">
        <v>3</v>
      </c>
    </row>
    <row r="53" spans="1:103">
      <c r="A53" s="18" t="s">
        <v>165</v>
      </c>
      <c r="B53" s="18" t="s">
        <v>165</v>
      </c>
      <c r="C53" s="18"/>
      <c r="D53" s="16"/>
      <c r="E53" s="16"/>
      <c r="F53" s="16"/>
      <c r="G53" s="16"/>
      <c r="H53" s="16"/>
      <c r="I53" s="16"/>
      <c r="J53" s="16"/>
      <c r="K53" s="1"/>
      <c r="L53" s="1"/>
      <c r="M53" s="1"/>
      <c r="N53" s="1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"/>
      <c r="AU53" s="1"/>
      <c r="AV53" s="1"/>
      <c r="AW53" s="1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"/>
      <c r="CO53" s="1"/>
      <c r="CP53" s="1"/>
      <c r="CQ53" s="16"/>
      <c r="CR53" s="16"/>
      <c r="CS53" s="16"/>
      <c r="CT53" s="16"/>
      <c r="CU53" s="17">
        <f>AVERAGE(CU45:CU52)</f>
        <v>6.25E-2</v>
      </c>
      <c r="CV53" s="17"/>
      <c r="CW53" s="17">
        <f>AVERAGE(CW45:CW52)</f>
        <v>0.9375</v>
      </c>
    </row>
    <row r="54" spans="1:103">
      <c r="A54" s="8" t="s">
        <v>152</v>
      </c>
      <c r="B54" s="8" t="s">
        <v>36</v>
      </c>
      <c r="C54" s="8" t="s">
        <v>105</v>
      </c>
      <c r="D54" t="s">
        <v>37</v>
      </c>
      <c r="E54" t="s">
        <v>3</v>
      </c>
      <c r="H54" t="s">
        <v>3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Z54" t="s">
        <v>3</v>
      </c>
      <c r="AC54" t="s">
        <v>3</v>
      </c>
      <c r="AF54" t="s">
        <v>3</v>
      </c>
      <c r="AI54" t="s">
        <v>3</v>
      </c>
      <c r="AL54" s="1"/>
      <c r="AM54" s="1" t="s">
        <v>82</v>
      </c>
      <c r="AO54" t="s">
        <v>3</v>
      </c>
      <c r="AR54" t="s">
        <v>3</v>
      </c>
      <c r="AT54" s="1"/>
      <c r="AU54" s="1"/>
      <c r="AV54" s="1"/>
      <c r="AW54" s="1"/>
      <c r="AX54" t="s">
        <v>3</v>
      </c>
      <c r="BA54" t="s">
        <v>3</v>
      </c>
      <c r="BD54" t="s">
        <v>3</v>
      </c>
      <c r="BG54" t="s">
        <v>3</v>
      </c>
      <c r="BJ54" t="s">
        <v>3</v>
      </c>
      <c r="BM54" t="s">
        <v>3</v>
      </c>
      <c r="BP54" t="s">
        <v>3</v>
      </c>
      <c r="BS54" t="s">
        <v>3</v>
      </c>
      <c r="BV54" t="s">
        <v>3</v>
      </c>
      <c r="BY54" t="s">
        <v>3</v>
      </c>
      <c r="CB54" t="s">
        <v>3</v>
      </c>
      <c r="CE54" t="s">
        <v>3</v>
      </c>
      <c r="CH54" t="s">
        <v>3</v>
      </c>
      <c r="CK54" t="s">
        <v>3</v>
      </c>
      <c r="CN54" s="1"/>
      <c r="CO54" s="1"/>
      <c r="CP54" s="1"/>
      <c r="CT54">
        <f>COUNTIF(E54:CS54,"NO")</f>
        <v>0</v>
      </c>
      <c r="CU54" s="15">
        <f t="shared" si="58"/>
        <v>0</v>
      </c>
      <c r="CV54">
        <f t="shared" ref="CV54:CV61" si="66">COUNTIF(E54:CS54,"YES")</f>
        <v>22</v>
      </c>
      <c r="CW54" s="14">
        <f t="shared" si="59"/>
        <v>1</v>
      </c>
      <c r="CX54" t="s">
        <v>3</v>
      </c>
    </row>
    <row r="55" spans="1:103">
      <c r="A55" s="8" t="s">
        <v>154</v>
      </c>
      <c r="B55" s="8" t="s">
        <v>42</v>
      </c>
      <c r="C55" s="8" t="s">
        <v>105</v>
      </c>
      <c r="D55" t="s">
        <v>43</v>
      </c>
      <c r="E55" t="s">
        <v>3</v>
      </c>
      <c r="H55" t="s">
        <v>3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Z55" t="s">
        <v>3</v>
      </c>
      <c r="AC55" t="s">
        <v>3</v>
      </c>
      <c r="AF55" t="s">
        <v>3</v>
      </c>
      <c r="AI55" t="s">
        <v>3</v>
      </c>
      <c r="AL55" s="1"/>
      <c r="AM55" s="1" t="s">
        <v>82</v>
      </c>
      <c r="AO55" t="s">
        <v>3</v>
      </c>
      <c r="AR55" t="s">
        <v>3</v>
      </c>
      <c r="AT55" s="1"/>
      <c r="AU55" s="1"/>
      <c r="AV55" s="1"/>
      <c r="AW55" s="1"/>
      <c r="AX55" t="s">
        <v>3</v>
      </c>
      <c r="BA55" t="s">
        <v>3</v>
      </c>
      <c r="BD55" t="s">
        <v>3</v>
      </c>
      <c r="BG55" t="s">
        <v>3</v>
      </c>
      <c r="BJ55" t="s">
        <v>3</v>
      </c>
      <c r="BM55" t="s">
        <v>3</v>
      </c>
      <c r="BP55" t="s">
        <v>3</v>
      </c>
      <c r="BS55" t="s">
        <v>3</v>
      </c>
      <c r="BV55" t="s">
        <v>3</v>
      </c>
      <c r="BY55" t="s">
        <v>3</v>
      </c>
      <c r="CB55" t="s">
        <v>3</v>
      </c>
      <c r="CE55" t="s">
        <v>3</v>
      </c>
      <c r="CH55" t="s">
        <v>3</v>
      </c>
      <c r="CK55" t="s">
        <v>3</v>
      </c>
      <c r="CN55" s="1"/>
      <c r="CO55" s="1"/>
      <c r="CP55" s="1"/>
      <c r="CT55">
        <f t="shared" ref="CT55:CT61" si="67">COUNTIF(E55:CS55,"NO")</f>
        <v>0</v>
      </c>
      <c r="CU55" s="15">
        <f t="shared" si="58"/>
        <v>0</v>
      </c>
      <c r="CV55">
        <f t="shared" si="66"/>
        <v>22</v>
      </c>
      <c r="CW55" s="14">
        <f t="shared" si="59"/>
        <v>1</v>
      </c>
      <c r="CX55" t="s">
        <v>3</v>
      </c>
    </row>
    <row r="56" spans="1:103">
      <c r="A56" s="8" t="s">
        <v>155</v>
      </c>
      <c r="B56" s="8" t="s">
        <v>60</v>
      </c>
      <c r="C56" s="8" t="s">
        <v>105</v>
      </c>
      <c r="D56" t="s">
        <v>43</v>
      </c>
      <c r="E56" t="s">
        <v>3</v>
      </c>
      <c r="H56" t="s">
        <v>3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Z56" t="s">
        <v>3</v>
      </c>
      <c r="AC56" t="s">
        <v>3</v>
      </c>
      <c r="AF56" t="s">
        <v>3</v>
      </c>
      <c r="AI56" t="s">
        <v>3</v>
      </c>
      <c r="AL56" s="1"/>
      <c r="AM56" s="1" t="s">
        <v>82</v>
      </c>
      <c r="AO56" t="s">
        <v>3</v>
      </c>
      <c r="AR56" t="s">
        <v>3</v>
      </c>
      <c r="AT56" s="1"/>
      <c r="AU56" s="1"/>
      <c r="AV56" s="1"/>
      <c r="AW56" s="1"/>
      <c r="AX56" t="s">
        <v>3</v>
      </c>
      <c r="BA56" t="s">
        <v>3</v>
      </c>
      <c r="BD56" t="s">
        <v>3</v>
      </c>
      <c r="BG56" t="s">
        <v>3</v>
      </c>
      <c r="BJ56" t="s">
        <v>3</v>
      </c>
      <c r="BM56" t="s">
        <v>3</v>
      </c>
      <c r="BP56" t="s">
        <v>3</v>
      </c>
      <c r="BS56" t="s">
        <v>3</v>
      </c>
      <c r="BV56" t="s">
        <v>3</v>
      </c>
      <c r="BY56" t="s">
        <v>3</v>
      </c>
      <c r="CB56" t="s">
        <v>3</v>
      </c>
      <c r="CE56" t="s">
        <v>3</v>
      </c>
      <c r="CH56" t="s">
        <v>3</v>
      </c>
      <c r="CK56" t="s">
        <v>3</v>
      </c>
      <c r="CN56" s="1"/>
      <c r="CO56" s="1"/>
      <c r="CP56" s="1"/>
      <c r="CT56">
        <f t="shared" si="67"/>
        <v>0</v>
      </c>
      <c r="CU56" s="15">
        <f t="shared" si="58"/>
        <v>0</v>
      </c>
      <c r="CV56">
        <f t="shared" si="66"/>
        <v>22</v>
      </c>
      <c r="CW56" s="14">
        <f t="shared" si="59"/>
        <v>1</v>
      </c>
      <c r="CX56" t="s">
        <v>3</v>
      </c>
    </row>
    <row r="57" spans="1:103">
      <c r="A57" s="8" t="s">
        <v>156</v>
      </c>
      <c r="B57" s="8" t="s">
        <v>77</v>
      </c>
      <c r="C57" s="8" t="s">
        <v>105</v>
      </c>
      <c r="D57" t="s">
        <v>78</v>
      </c>
      <c r="E57" s="1"/>
      <c r="F57" s="1" t="s">
        <v>0</v>
      </c>
      <c r="H57" t="s">
        <v>3</v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Z57" t="s">
        <v>3</v>
      </c>
      <c r="AC57" t="s">
        <v>3</v>
      </c>
      <c r="AF57" t="s">
        <v>3</v>
      </c>
      <c r="AI57" t="s">
        <v>3</v>
      </c>
      <c r="AL57" s="1"/>
      <c r="AM57" s="1" t="s">
        <v>82</v>
      </c>
      <c r="AO57" t="s">
        <v>3</v>
      </c>
      <c r="AR57" s="1"/>
      <c r="AS57" s="1" t="s">
        <v>0</v>
      </c>
      <c r="AT57" s="1"/>
      <c r="AU57" s="1"/>
      <c r="AV57" s="1"/>
      <c r="AW57" s="1"/>
      <c r="AX57" t="s">
        <v>3</v>
      </c>
      <c r="BA57" t="s">
        <v>3</v>
      </c>
      <c r="BB57" s="1"/>
      <c r="BC57" s="1"/>
      <c r="BD57" s="1"/>
      <c r="BE57" s="1" t="s">
        <v>0</v>
      </c>
      <c r="BF57" s="1"/>
      <c r="BG57" t="s">
        <v>3</v>
      </c>
      <c r="BJ57" s="1"/>
      <c r="BK57" s="1" t="s">
        <v>0</v>
      </c>
      <c r="BM57" t="s">
        <v>3</v>
      </c>
      <c r="BP57" t="s">
        <v>3</v>
      </c>
      <c r="BS57" t="s">
        <v>3</v>
      </c>
      <c r="BV57" s="1"/>
      <c r="BW57" s="1" t="s">
        <v>0</v>
      </c>
      <c r="BX57" s="1"/>
      <c r="BY57" s="5"/>
      <c r="BZ57" s="5" t="s">
        <v>0</v>
      </c>
      <c r="CA57" s="5"/>
      <c r="CB57" t="s">
        <v>3</v>
      </c>
      <c r="CE57" s="1"/>
      <c r="CF57" s="1" t="s">
        <v>0</v>
      </c>
      <c r="CG57" s="1"/>
      <c r="CH57" s="1"/>
      <c r="CI57" s="1" t="s">
        <v>0</v>
      </c>
      <c r="CK57" t="s">
        <v>3</v>
      </c>
      <c r="CN57" s="1"/>
      <c r="CO57" s="1"/>
      <c r="CP57" s="1"/>
      <c r="CT57">
        <f t="shared" si="67"/>
        <v>8</v>
      </c>
      <c r="CU57" s="15">
        <f t="shared" si="58"/>
        <v>0.36363636363636365</v>
      </c>
      <c r="CV57">
        <f t="shared" si="66"/>
        <v>14</v>
      </c>
      <c r="CW57" s="14">
        <f t="shared" si="59"/>
        <v>0.63636363636363635</v>
      </c>
      <c r="CX57" t="s">
        <v>3</v>
      </c>
    </row>
    <row r="58" spans="1:103">
      <c r="A58" s="8" t="s">
        <v>157</v>
      </c>
      <c r="B58" s="8" t="s">
        <v>75</v>
      </c>
      <c r="C58" s="8" t="s">
        <v>105</v>
      </c>
      <c r="D58" t="s">
        <v>76</v>
      </c>
      <c r="E58" t="s">
        <v>3</v>
      </c>
      <c r="H58" t="s">
        <v>3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Z58" t="s">
        <v>3</v>
      </c>
      <c r="AC58" t="s">
        <v>3</v>
      </c>
      <c r="AF58" t="s">
        <v>3</v>
      </c>
      <c r="AI58" t="s">
        <v>3</v>
      </c>
      <c r="AL58" s="1"/>
      <c r="AM58" s="1" t="s">
        <v>82</v>
      </c>
      <c r="AO58" t="s">
        <v>3</v>
      </c>
      <c r="AR58" t="s">
        <v>3</v>
      </c>
      <c r="AT58" s="1"/>
      <c r="AU58" s="1"/>
      <c r="AV58" s="1"/>
      <c r="AW58" s="1"/>
      <c r="AX58" t="s">
        <v>3</v>
      </c>
      <c r="BA58" t="s">
        <v>3</v>
      </c>
      <c r="BD58" t="s">
        <v>3</v>
      </c>
      <c r="BG58" t="s">
        <v>3</v>
      </c>
      <c r="BJ58" t="s">
        <v>3</v>
      </c>
      <c r="BM58" t="s">
        <v>3</v>
      </c>
      <c r="BP58" t="s">
        <v>3</v>
      </c>
      <c r="BS58" t="s">
        <v>3</v>
      </c>
      <c r="BV58" t="s">
        <v>3</v>
      </c>
      <c r="BY58" t="s">
        <v>3</v>
      </c>
      <c r="CB58" t="s">
        <v>3</v>
      </c>
      <c r="CE58" t="s">
        <v>3</v>
      </c>
      <c r="CH58" t="s">
        <v>3</v>
      </c>
      <c r="CK58" t="s">
        <v>3</v>
      </c>
      <c r="CN58" s="1"/>
      <c r="CO58" s="1"/>
      <c r="CP58" s="1"/>
      <c r="CT58">
        <f t="shared" si="67"/>
        <v>0</v>
      </c>
      <c r="CU58" s="15">
        <f t="shared" si="58"/>
        <v>0</v>
      </c>
      <c r="CV58">
        <f t="shared" si="66"/>
        <v>22</v>
      </c>
      <c r="CW58" s="14">
        <f t="shared" si="59"/>
        <v>1</v>
      </c>
      <c r="CX58" t="s">
        <v>3</v>
      </c>
    </row>
    <row r="59" spans="1:103">
      <c r="A59" s="8" t="s">
        <v>158</v>
      </c>
      <c r="B59" s="9" t="s">
        <v>19</v>
      </c>
      <c r="C59" s="9" t="s">
        <v>105</v>
      </c>
      <c r="D59" s="1" t="s">
        <v>20</v>
      </c>
      <c r="E59" s="1"/>
      <c r="F59" s="1" t="s">
        <v>0</v>
      </c>
      <c r="G59" s="1"/>
      <c r="H59" s="1"/>
      <c r="I59" s="1" t="s">
        <v>0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 t="s">
        <v>0</v>
      </c>
      <c r="AB59" s="1"/>
      <c r="AC59" s="1"/>
      <c r="AD59" s="1" t="s">
        <v>0</v>
      </c>
      <c r="AE59" s="1"/>
      <c r="AF59" s="1"/>
      <c r="AG59" s="1" t="s">
        <v>0</v>
      </c>
      <c r="AH59" s="1"/>
      <c r="AI59" s="1"/>
      <c r="AJ59" s="1" t="s">
        <v>0</v>
      </c>
      <c r="AK59" s="1"/>
      <c r="AL59" s="1"/>
      <c r="AM59" s="1" t="s">
        <v>82</v>
      </c>
      <c r="AN59" s="1"/>
      <c r="AO59" s="1"/>
      <c r="AP59" s="1" t="s">
        <v>0</v>
      </c>
      <c r="AQ59" s="1"/>
      <c r="AR59" s="1"/>
      <c r="AS59" s="1" t="s">
        <v>0</v>
      </c>
      <c r="AT59" s="1"/>
      <c r="AU59" s="1"/>
      <c r="AV59" s="1"/>
      <c r="AW59" s="1"/>
      <c r="AX59" s="1"/>
      <c r="AY59" s="1" t="s">
        <v>0</v>
      </c>
      <c r="AZ59" s="1"/>
      <c r="BA59" s="1"/>
      <c r="BB59" s="1" t="s">
        <v>0</v>
      </c>
      <c r="BC59" s="1"/>
      <c r="BD59" s="1"/>
      <c r="BE59" s="1" t="s">
        <v>0</v>
      </c>
      <c r="BF59" s="1"/>
      <c r="BG59" s="1"/>
      <c r="BH59" s="1" t="s">
        <v>0</v>
      </c>
      <c r="BI59" s="1"/>
      <c r="BJ59" s="1"/>
      <c r="BK59" s="1" t="s">
        <v>0</v>
      </c>
      <c r="BL59" s="1"/>
      <c r="BM59" s="1"/>
      <c r="BN59" s="1" t="s">
        <v>0</v>
      </c>
      <c r="BO59" s="1"/>
      <c r="BP59" s="1"/>
      <c r="BQ59" s="1" t="s">
        <v>0</v>
      </c>
      <c r="BR59" s="1"/>
      <c r="BS59" t="s">
        <v>3</v>
      </c>
      <c r="BV59" s="1"/>
      <c r="BW59" s="1" t="s">
        <v>0</v>
      </c>
      <c r="BX59" s="1"/>
      <c r="BY59" s="5"/>
      <c r="BZ59" s="5" t="s">
        <v>0</v>
      </c>
      <c r="CA59" s="5"/>
      <c r="CB59" s="1"/>
      <c r="CC59" s="1" t="s">
        <v>0</v>
      </c>
      <c r="CD59" s="1"/>
      <c r="CE59" s="1"/>
      <c r="CF59" s="1" t="s">
        <v>0</v>
      </c>
      <c r="CG59" s="1"/>
      <c r="CH59" s="1"/>
      <c r="CI59" s="1" t="s">
        <v>0</v>
      </c>
      <c r="CJ59" s="5"/>
      <c r="CK59" s="5"/>
      <c r="CL59" s="5" t="s">
        <v>0</v>
      </c>
      <c r="CM59" s="5"/>
      <c r="CN59" s="1"/>
      <c r="CO59" s="1"/>
      <c r="CP59" s="1"/>
      <c r="CT59">
        <f t="shared" si="67"/>
        <v>21</v>
      </c>
      <c r="CU59" s="15">
        <f t="shared" si="58"/>
        <v>0.95454545454545459</v>
      </c>
      <c r="CV59">
        <f t="shared" si="66"/>
        <v>1</v>
      </c>
      <c r="CW59" s="14">
        <f t="shared" si="59"/>
        <v>4.5454545454545456E-2</v>
      </c>
      <c r="CY59" t="s">
        <v>0</v>
      </c>
    </row>
    <row r="60" spans="1:103">
      <c r="A60" s="8" t="s">
        <v>159</v>
      </c>
      <c r="B60" s="9" t="s">
        <v>41</v>
      </c>
      <c r="C60" s="9" t="s">
        <v>105</v>
      </c>
      <c r="D60" s="1" t="s">
        <v>20</v>
      </c>
      <c r="E60" s="1"/>
      <c r="F60" s="1" t="s">
        <v>0</v>
      </c>
      <c r="G60" s="1"/>
      <c r="H60" s="1"/>
      <c r="I60" s="1" t="s">
        <v>0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 t="s">
        <v>0</v>
      </c>
      <c r="AB60" s="1"/>
      <c r="AC60" s="1"/>
      <c r="AD60" s="1" t="s">
        <v>0</v>
      </c>
      <c r="AE60" s="1"/>
      <c r="AF60" s="1"/>
      <c r="AG60" s="1" t="s">
        <v>0</v>
      </c>
      <c r="AH60" s="1"/>
      <c r="AI60" s="1"/>
      <c r="AJ60" s="1" t="s">
        <v>0</v>
      </c>
      <c r="AK60" s="1"/>
      <c r="AL60" s="1"/>
      <c r="AM60" s="1" t="s">
        <v>82</v>
      </c>
      <c r="AN60" s="1"/>
      <c r="AO60" s="1"/>
      <c r="AP60" s="1" t="s">
        <v>0</v>
      </c>
      <c r="AQ60" s="1"/>
      <c r="AR60" s="1"/>
      <c r="AS60" s="1" t="s">
        <v>0</v>
      </c>
      <c r="AT60" s="1"/>
      <c r="AU60" s="1"/>
      <c r="AV60" s="1"/>
      <c r="AW60" s="1"/>
      <c r="AX60" s="1"/>
      <c r="AY60" s="1" t="s">
        <v>0</v>
      </c>
      <c r="AZ60" s="1"/>
      <c r="BA60" s="1"/>
      <c r="BB60" s="1" t="s">
        <v>0</v>
      </c>
      <c r="BC60" s="1"/>
      <c r="BD60" s="1"/>
      <c r="BE60" s="1" t="s">
        <v>0</v>
      </c>
      <c r="BF60" s="1"/>
      <c r="BG60" s="1"/>
      <c r="BH60" s="1" t="s">
        <v>0</v>
      </c>
      <c r="BI60" s="1"/>
      <c r="BJ60" s="1"/>
      <c r="BK60" s="1" t="s">
        <v>0</v>
      </c>
      <c r="BL60" s="1"/>
      <c r="BM60" s="1"/>
      <c r="BN60" s="1" t="s">
        <v>0</v>
      </c>
      <c r="BO60" s="1"/>
      <c r="BP60" s="1"/>
      <c r="BQ60" s="1" t="s">
        <v>0</v>
      </c>
      <c r="BR60" s="1"/>
      <c r="BS60" s="1"/>
      <c r="BT60" s="1" t="s">
        <v>0</v>
      </c>
      <c r="BU60" s="1"/>
      <c r="BV60" s="1"/>
      <c r="BW60" s="1" t="s">
        <v>0</v>
      </c>
      <c r="BX60" s="1"/>
      <c r="BY60" s="5"/>
      <c r="BZ60" s="5" t="s">
        <v>0</v>
      </c>
      <c r="CA60" s="5"/>
      <c r="CB60" s="1"/>
      <c r="CC60" s="1" t="s">
        <v>0</v>
      </c>
      <c r="CD60" s="1"/>
      <c r="CE60" s="1"/>
      <c r="CF60" s="1" t="s">
        <v>0</v>
      </c>
      <c r="CG60" s="1"/>
      <c r="CH60" s="1"/>
      <c r="CI60" s="1" t="s">
        <v>0</v>
      </c>
      <c r="CJ60" s="5"/>
      <c r="CK60" s="5"/>
      <c r="CL60" s="5" t="s">
        <v>0</v>
      </c>
      <c r="CM60" s="5"/>
      <c r="CN60" s="1"/>
      <c r="CO60" s="1"/>
      <c r="CP60" s="1"/>
      <c r="CT60">
        <f t="shared" si="67"/>
        <v>22</v>
      </c>
      <c r="CU60" s="15">
        <f t="shared" si="58"/>
        <v>1</v>
      </c>
      <c r="CV60">
        <f t="shared" si="66"/>
        <v>0</v>
      </c>
      <c r="CW60" s="14">
        <f t="shared" si="59"/>
        <v>0</v>
      </c>
      <c r="CY60" t="s">
        <v>0</v>
      </c>
    </row>
    <row r="61" spans="1:103">
      <c r="A61" s="8" t="s">
        <v>160</v>
      </c>
      <c r="B61" s="8" t="s">
        <v>64</v>
      </c>
      <c r="C61" s="8" t="s">
        <v>105</v>
      </c>
      <c r="D61" t="s">
        <v>20</v>
      </c>
      <c r="E61" t="s">
        <v>3</v>
      </c>
      <c r="H61" t="s">
        <v>3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Z61" t="s">
        <v>3</v>
      </c>
      <c r="AC61" t="s">
        <v>3</v>
      </c>
      <c r="AF61" t="s">
        <v>3</v>
      </c>
      <c r="AI61" t="s">
        <v>3</v>
      </c>
      <c r="AL61" s="1"/>
      <c r="AM61" s="1" t="s">
        <v>82</v>
      </c>
      <c r="AO61" t="s">
        <v>3</v>
      </c>
      <c r="AR61" t="s">
        <v>3</v>
      </c>
      <c r="AT61" s="1"/>
      <c r="AU61" s="1"/>
      <c r="AV61" s="1"/>
      <c r="AW61" s="1"/>
      <c r="AX61" t="s">
        <v>3</v>
      </c>
      <c r="BA61" t="s">
        <v>3</v>
      </c>
      <c r="BD61" t="s">
        <v>3</v>
      </c>
      <c r="BG61" t="s">
        <v>3</v>
      </c>
      <c r="BJ61" t="s">
        <v>3</v>
      </c>
      <c r="BM61" t="s">
        <v>3</v>
      </c>
      <c r="BP61" t="s">
        <v>3</v>
      </c>
      <c r="BS61" t="s">
        <v>3</v>
      </c>
      <c r="BV61" t="s">
        <v>3</v>
      </c>
      <c r="BY61" t="s">
        <v>3</v>
      </c>
      <c r="CB61" t="s">
        <v>3</v>
      </c>
      <c r="CE61" t="s">
        <v>3</v>
      </c>
      <c r="CH61" t="s">
        <v>3</v>
      </c>
      <c r="CK61" t="s">
        <v>3</v>
      </c>
      <c r="CN61" s="1"/>
      <c r="CO61" s="1"/>
      <c r="CP61" s="1"/>
      <c r="CT61">
        <f t="shared" si="67"/>
        <v>0</v>
      </c>
      <c r="CU61" s="15">
        <f t="shared" si="58"/>
        <v>0</v>
      </c>
      <c r="CV61">
        <f t="shared" si="66"/>
        <v>22</v>
      </c>
      <c r="CW61" s="14">
        <f t="shared" si="59"/>
        <v>1</v>
      </c>
      <c r="CX61" t="s">
        <v>3</v>
      </c>
    </row>
    <row r="62" spans="1:103">
      <c r="A62" s="16" t="s">
        <v>105</v>
      </c>
      <c r="B62" s="16" t="s">
        <v>105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7">
        <f>AVERAGE(CU54:CU61)</f>
        <v>0.28977272727272729</v>
      </c>
      <c r="CV62" s="17"/>
      <c r="CW62" s="17">
        <f>AVERAGE(CW54:CW61)</f>
        <v>0.71022727272727282</v>
      </c>
    </row>
    <row r="63" spans="1:103">
      <c r="A63" s="21"/>
      <c r="B63" s="21" t="s">
        <v>166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2">
        <f>AVERAGE(CU62,CU44,CU53,CU33,CU24)</f>
        <v>0.20908617424242423</v>
      </c>
      <c r="CV63" s="21"/>
      <c r="CW63" s="22">
        <f>AVERAGE(CW62,CW44,CW53,CW33,CW24)</f>
        <v>0.79091382575757585</v>
      </c>
    </row>
  </sheetData>
  <autoFilter ref="CW3:CW63"/>
  <mergeCells count="35">
    <mergeCell ref="BD4:BF4"/>
    <mergeCell ref="BG4:BI4"/>
    <mergeCell ref="BS4:BU4"/>
    <mergeCell ref="BP4:BR4"/>
    <mergeCell ref="BM4:BO4"/>
    <mergeCell ref="BJ4:BL4"/>
    <mergeCell ref="N4:P4"/>
    <mergeCell ref="Q4:S4"/>
    <mergeCell ref="T4:V4"/>
    <mergeCell ref="W4:Y4"/>
    <mergeCell ref="K4:M4"/>
    <mergeCell ref="AF4:AH4"/>
    <mergeCell ref="AC4:AE4"/>
    <mergeCell ref="Z4:AB4"/>
    <mergeCell ref="AU4:AW4"/>
    <mergeCell ref="AR4:AT4"/>
    <mergeCell ref="AO4:AQ4"/>
    <mergeCell ref="AL4:AN4"/>
    <mergeCell ref="AI4:AK4"/>
    <mergeCell ref="CV4:CW4"/>
    <mergeCell ref="B3:B5"/>
    <mergeCell ref="C3:C5"/>
    <mergeCell ref="D3:D5"/>
    <mergeCell ref="CT4:CU4"/>
    <mergeCell ref="CE4:CG4"/>
    <mergeCell ref="CH4:CJ4"/>
    <mergeCell ref="CK4:CM4"/>
    <mergeCell ref="CN4:CP4"/>
    <mergeCell ref="CQ4:CS4"/>
    <mergeCell ref="BA4:BC4"/>
    <mergeCell ref="AX4:AZ4"/>
    <mergeCell ref="BY4:CA4"/>
    <mergeCell ref="CB4:CD4"/>
    <mergeCell ref="BV4:BX4"/>
    <mergeCell ref="H4:J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F13" sqref="F13"/>
    </sheetView>
  </sheetViews>
  <sheetFormatPr defaultRowHeight="14.5"/>
  <cols>
    <col min="1" max="1" width="12.08203125" bestFit="1" customWidth="1"/>
    <col min="4" max="4" width="16.58203125" bestFit="1" customWidth="1"/>
    <col min="5" max="5" width="8.9140625" customWidth="1"/>
    <col min="6" max="6" width="15.33203125" bestFit="1" customWidth="1"/>
  </cols>
  <sheetData>
    <row r="1" spans="1:6" ht="15.5">
      <c r="A1" s="23" t="s">
        <v>306</v>
      </c>
      <c r="B1" s="23" t="s">
        <v>305</v>
      </c>
      <c r="C1" s="24" t="s">
        <v>169</v>
      </c>
      <c r="D1" s="67" t="s">
        <v>308</v>
      </c>
      <c r="E1" s="68"/>
    </row>
    <row r="2" spans="1:6" ht="15.5">
      <c r="A2" s="23"/>
      <c r="B2" s="23"/>
      <c r="C2" s="24"/>
      <c r="D2" s="24" t="s">
        <v>309</v>
      </c>
      <c r="E2" s="24" t="s">
        <v>310</v>
      </c>
      <c r="F2" t="s">
        <v>330</v>
      </c>
    </row>
    <row r="3" spans="1:6">
      <c r="A3" t="s">
        <v>313</v>
      </c>
      <c r="B3" t="s">
        <v>104</v>
      </c>
      <c r="C3" t="s">
        <v>314</v>
      </c>
      <c r="D3" s="51">
        <v>45766</v>
      </c>
      <c r="E3" t="s">
        <v>0</v>
      </c>
      <c r="F3" t="s">
        <v>0</v>
      </c>
    </row>
    <row r="4" spans="1:6">
      <c r="A4" t="s">
        <v>174</v>
      </c>
      <c r="B4" t="s">
        <v>104</v>
      </c>
      <c r="C4" t="s">
        <v>205</v>
      </c>
      <c r="D4" s="51">
        <v>45784</v>
      </c>
      <c r="E4" t="s">
        <v>0</v>
      </c>
      <c r="F4" t="s">
        <v>0</v>
      </c>
    </row>
    <row r="5" spans="1:6">
      <c r="A5" t="s">
        <v>315</v>
      </c>
      <c r="B5" t="s">
        <v>104</v>
      </c>
      <c r="C5" t="s">
        <v>241</v>
      </c>
      <c r="D5" s="51">
        <v>45870</v>
      </c>
      <c r="E5" t="s">
        <v>3</v>
      </c>
      <c r="F5" t="s">
        <v>3</v>
      </c>
    </row>
    <row r="6" spans="1:6">
      <c r="A6" t="s">
        <v>316</v>
      </c>
      <c r="B6" t="s">
        <v>105</v>
      </c>
      <c r="C6" t="s">
        <v>317</v>
      </c>
      <c r="D6" s="51">
        <v>45870</v>
      </c>
      <c r="E6" t="s">
        <v>3</v>
      </c>
      <c r="F6" t="s">
        <v>3</v>
      </c>
    </row>
    <row r="7" spans="1:6">
      <c r="A7" t="s">
        <v>318</v>
      </c>
      <c r="B7" t="s">
        <v>105</v>
      </c>
      <c r="C7" t="s">
        <v>60</v>
      </c>
      <c r="D7" s="51">
        <v>45870</v>
      </c>
      <c r="E7" t="s">
        <v>3</v>
      </c>
      <c r="F7" t="s">
        <v>3</v>
      </c>
    </row>
    <row r="8" spans="1:6">
      <c r="A8" t="s">
        <v>319</v>
      </c>
      <c r="B8" t="s">
        <v>105</v>
      </c>
      <c r="C8" t="s">
        <v>171</v>
      </c>
      <c r="D8" t="s">
        <v>323</v>
      </c>
      <c r="E8" t="s">
        <v>0</v>
      </c>
      <c r="F8" t="s">
        <v>0</v>
      </c>
    </row>
    <row r="9" spans="1:6">
      <c r="A9" t="s">
        <v>320</v>
      </c>
      <c r="B9" t="s">
        <v>105</v>
      </c>
      <c r="C9" t="s">
        <v>218</v>
      </c>
      <c r="D9" s="49">
        <v>45870</v>
      </c>
      <c r="E9" t="s">
        <v>3</v>
      </c>
      <c r="F9" t="s">
        <v>3</v>
      </c>
    </row>
    <row r="10" spans="1:6">
      <c r="A10" t="s">
        <v>321</v>
      </c>
      <c r="B10" t="s">
        <v>107</v>
      </c>
      <c r="C10" t="s">
        <v>322</v>
      </c>
      <c r="D10" s="50">
        <v>45640</v>
      </c>
      <c r="E10" t="s">
        <v>0</v>
      </c>
      <c r="F10" t="s">
        <v>0</v>
      </c>
    </row>
    <row r="11" spans="1:6">
      <c r="A11" t="s">
        <v>168</v>
      </c>
      <c r="E11">
        <f>COUNTIF(E3:E10,"YES")</f>
        <v>4</v>
      </c>
      <c r="F11">
        <f>COUNTIF(F3:F10,"YES")</f>
        <v>4</v>
      </c>
    </row>
    <row r="12" spans="1:6">
      <c r="A12" t="s">
        <v>331</v>
      </c>
      <c r="E12" s="15">
        <f>E11/8</f>
        <v>0.5</v>
      </c>
      <c r="F12" s="15">
        <f>F11/8</f>
        <v>0.5</v>
      </c>
    </row>
  </sheetData>
  <autoFilter ref="E1:E12"/>
  <mergeCells count="1">
    <mergeCell ref="D1:E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14"/>
  <sheetViews>
    <sheetView workbookViewId="0">
      <selection activeCell="G12" sqref="G12"/>
    </sheetView>
  </sheetViews>
  <sheetFormatPr defaultRowHeight="14.5"/>
  <cols>
    <col min="1" max="1" width="12.08203125" bestFit="1" customWidth="1"/>
    <col min="3" max="3" width="12.25" bestFit="1" customWidth="1"/>
    <col min="4" max="4" width="11.08203125" bestFit="1" customWidth="1"/>
    <col min="6" max="6" width="15.33203125" bestFit="1" customWidth="1"/>
  </cols>
  <sheetData>
    <row r="2" spans="1:6" ht="15.5">
      <c r="A2" s="71" t="s">
        <v>306</v>
      </c>
      <c r="B2" s="71" t="s">
        <v>305</v>
      </c>
      <c r="C2" s="73" t="s">
        <v>169</v>
      </c>
      <c r="D2" s="69" t="s">
        <v>308</v>
      </c>
      <c r="E2" s="70"/>
      <c r="F2" s="70"/>
    </row>
    <row r="3" spans="1:6" ht="15.5">
      <c r="A3" s="72"/>
      <c r="B3" s="72"/>
      <c r="C3" s="74"/>
      <c r="D3" s="24" t="s">
        <v>309</v>
      </c>
      <c r="E3" s="24" t="s">
        <v>310</v>
      </c>
      <c r="F3" s="54" t="s">
        <v>330</v>
      </c>
    </row>
    <row r="4" spans="1:6">
      <c r="A4" t="s">
        <v>326</v>
      </c>
      <c r="B4" t="s">
        <v>106</v>
      </c>
      <c r="C4" t="s">
        <v>327</v>
      </c>
      <c r="D4" s="49">
        <v>45684</v>
      </c>
      <c r="E4" t="s">
        <v>0</v>
      </c>
      <c r="F4" t="s">
        <v>0</v>
      </c>
    </row>
    <row r="5" spans="1:6">
      <c r="A5" t="s">
        <v>328</v>
      </c>
      <c r="B5" t="s">
        <v>106</v>
      </c>
      <c r="C5" t="s">
        <v>329</v>
      </c>
      <c r="D5" s="49">
        <v>45834</v>
      </c>
      <c r="E5" t="s">
        <v>0</v>
      </c>
      <c r="F5" t="s">
        <v>0</v>
      </c>
    </row>
    <row r="6" spans="1:6">
      <c r="A6" t="s">
        <v>332</v>
      </c>
      <c r="B6" t="s">
        <v>108</v>
      </c>
      <c r="C6" t="s">
        <v>339</v>
      </c>
      <c r="D6" s="50">
        <v>45868</v>
      </c>
      <c r="E6" t="s">
        <v>3</v>
      </c>
      <c r="F6" t="s">
        <v>0</v>
      </c>
    </row>
    <row r="7" spans="1:6">
      <c r="A7" s="53" t="s">
        <v>333</v>
      </c>
      <c r="D7" s="50">
        <v>45870</v>
      </c>
      <c r="E7" t="s">
        <v>3</v>
      </c>
      <c r="F7" t="s">
        <v>3</v>
      </c>
    </row>
    <row r="8" spans="1:6">
      <c r="A8" t="s">
        <v>334</v>
      </c>
      <c r="D8" s="50">
        <v>45870</v>
      </c>
      <c r="E8" t="s">
        <v>3</v>
      </c>
      <c r="F8" t="s">
        <v>3</v>
      </c>
    </row>
    <row r="9" spans="1:6">
      <c r="A9" t="s">
        <v>335</v>
      </c>
      <c r="D9" s="50">
        <v>45760</v>
      </c>
      <c r="E9" t="s">
        <v>0</v>
      </c>
      <c r="F9" t="s">
        <v>0</v>
      </c>
    </row>
    <row r="10" spans="1:6">
      <c r="A10" t="s">
        <v>336</v>
      </c>
      <c r="D10" s="50">
        <v>45870</v>
      </c>
      <c r="E10" t="s">
        <v>3</v>
      </c>
      <c r="F10" t="s">
        <v>3</v>
      </c>
    </row>
    <row r="11" spans="1:6">
      <c r="A11" t="s">
        <v>337</v>
      </c>
      <c r="D11" s="50">
        <v>45859</v>
      </c>
      <c r="E11" t="s">
        <v>3</v>
      </c>
      <c r="F11" t="s">
        <v>0</v>
      </c>
    </row>
    <row r="12" spans="1:6">
      <c r="A12" t="s">
        <v>338</v>
      </c>
      <c r="B12" t="s">
        <v>106</v>
      </c>
      <c r="C12" t="s">
        <v>329</v>
      </c>
      <c r="D12" s="50">
        <v>45870</v>
      </c>
      <c r="E12" t="s">
        <v>3</v>
      </c>
      <c r="F12" t="s">
        <v>3</v>
      </c>
    </row>
    <row r="13" spans="1:6">
      <c r="A13" t="s">
        <v>168</v>
      </c>
      <c r="E13">
        <f>COUNTIF(E4:E12,"YES")</f>
        <v>6</v>
      </c>
      <c r="F13">
        <f>COUNTIF(F4:F12,"YES")</f>
        <v>4</v>
      </c>
    </row>
    <row r="14" spans="1:6">
      <c r="A14" t="s">
        <v>331</v>
      </c>
      <c r="E14" s="14">
        <f>E13/9</f>
        <v>0.66666666666666663</v>
      </c>
      <c r="F14" s="14">
        <f>F13/9</f>
        <v>0.44444444444444442</v>
      </c>
    </row>
  </sheetData>
  <autoFilter ref="E2:E24"/>
  <mergeCells count="4">
    <mergeCell ref="D2:F2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5"/>
  <sheetViews>
    <sheetView workbookViewId="0">
      <selection activeCell="F17" sqref="F17"/>
    </sheetView>
  </sheetViews>
  <sheetFormatPr defaultRowHeight="14.5"/>
  <cols>
    <col min="1" max="1" width="12.08203125" bestFit="1" customWidth="1"/>
    <col min="2" max="2" width="8" bestFit="1" customWidth="1"/>
    <col min="3" max="3" width="12.25" bestFit="1" customWidth="1"/>
    <col min="4" max="4" width="11.08203125" bestFit="1" customWidth="1"/>
    <col min="5" max="5" width="5.6640625" bestFit="1" customWidth="1"/>
    <col min="6" max="6" width="16.08203125" bestFit="1" customWidth="1"/>
  </cols>
  <sheetData>
    <row r="1" spans="1:6" ht="15.5">
      <c r="A1" s="71" t="s">
        <v>306</v>
      </c>
      <c r="B1" s="71" t="s">
        <v>305</v>
      </c>
      <c r="C1" s="73" t="s">
        <v>169</v>
      </c>
      <c r="D1" s="69" t="s">
        <v>308</v>
      </c>
      <c r="E1" s="70"/>
      <c r="F1" s="70"/>
    </row>
    <row r="2" spans="1:6" ht="15.5">
      <c r="A2" s="72"/>
      <c r="B2" s="72"/>
      <c r="C2" s="74"/>
      <c r="D2" s="24" t="s">
        <v>309</v>
      </c>
      <c r="E2" s="24" t="s">
        <v>310</v>
      </c>
      <c r="F2" s="54" t="s">
        <v>330</v>
      </c>
    </row>
    <row r="3" spans="1:6">
      <c r="A3" t="s">
        <v>340</v>
      </c>
      <c r="B3" t="s">
        <v>105</v>
      </c>
      <c r="C3" t="s">
        <v>324</v>
      </c>
      <c r="D3" s="49">
        <v>45870</v>
      </c>
      <c r="E3" t="s">
        <v>3</v>
      </c>
      <c r="F3" t="s">
        <v>3</v>
      </c>
    </row>
    <row r="4" spans="1:6">
      <c r="A4" t="s">
        <v>341</v>
      </c>
      <c r="B4" t="s">
        <v>105</v>
      </c>
      <c r="C4" t="s">
        <v>353</v>
      </c>
      <c r="D4" s="49">
        <v>45823</v>
      </c>
      <c r="E4" t="s">
        <v>0</v>
      </c>
      <c r="F4" t="s">
        <v>0</v>
      </c>
    </row>
    <row r="5" spans="1:6">
      <c r="A5" t="s">
        <v>342</v>
      </c>
      <c r="B5" t="s">
        <v>105</v>
      </c>
      <c r="C5" t="s">
        <v>325</v>
      </c>
      <c r="D5" s="50">
        <v>45610</v>
      </c>
      <c r="E5" t="s">
        <v>0</v>
      </c>
      <c r="F5" t="s">
        <v>0</v>
      </c>
    </row>
    <row r="6" spans="1:6">
      <c r="A6" t="s">
        <v>343</v>
      </c>
      <c r="B6" t="s">
        <v>107</v>
      </c>
      <c r="C6" t="s">
        <v>352</v>
      </c>
      <c r="D6" s="49">
        <v>45870</v>
      </c>
      <c r="E6" t="s">
        <v>3</v>
      </c>
      <c r="F6" t="s">
        <v>3</v>
      </c>
    </row>
    <row r="7" spans="1:6">
      <c r="A7" t="s">
        <v>344</v>
      </c>
      <c r="B7" t="s">
        <v>104</v>
      </c>
      <c r="C7" t="s">
        <v>354</v>
      </c>
      <c r="D7" s="49">
        <v>45750</v>
      </c>
      <c r="E7" t="s">
        <v>0</v>
      </c>
      <c r="F7" t="s">
        <v>0</v>
      </c>
    </row>
    <row r="8" spans="1:6">
      <c r="A8" t="s">
        <v>345</v>
      </c>
      <c r="B8" t="s">
        <v>106</v>
      </c>
      <c r="C8" t="s">
        <v>355</v>
      </c>
      <c r="D8" s="49">
        <v>45870</v>
      </c>
      <c r="E8" t="s">
        <v>3</v>
      </c>
      <c r="F8" t="s">
        <v>3</v>
      </c>
    </row>
    <row r="9" spans="1:6">
      <c r="A9" t="s">
        <v>346</v>
      </c>
      <c r="B9" t="s">
        <v>104</v>
      </c>
      <c r="C9" t="s">
        <v>356</v>
      </c>
      <c r="D9" s="49">
        <v>45870</v>
      </c>
      <c r="E9" t="s">
        <v>3</v>
      </c>
      <c r="F9" t="s">
        <v>3</v>
      </c>
    </row>
    <row r="10" spans="1:6">
      <c r="A10" t="s">
        <v>347</v>
      </c>
      <c r="B10" t="s">
        <v>104</v>
      </c>
      <c r="C10" t="s">
        <v>356</v>
      </c>
      <c r="D10" s="49">
        <v>45870</v>
      </c>
      <c r="E10" t="s">
        <v>3</v>
      </c>
      <c r="F10" t="s">
        <v>3</v>
      </c>
    </row>
    <row r="11" spans="1:6">
      <c r="A11" t="s">
        <v>348</v>
      </c>
      <c r="B11" t="s">
        <v>107</v>
      </c>
      <c r="C11" t="s">
        <v>357</v>
      </c>
      <c r="D11" s="49">
        <v>45870</v>
      </c>
      <c r="E11" t="s">
        <v>3</v>
      </c>
      <c r="F11" t="s">
        <v>3</v>
      </c>
    </row>
    <row r="12" spans="1:6">
      <c r="A12" t="s">
        <v>349</v>
      </c>
      <c r="B12" t="s">
        <v>106</v>
      </c>
      <c r="C12" t="s">
        <v>358</v>
      </c>
      <c r="D12" s="49">
        <v>45769</v>
      </c>
      <c r="E12" t="s">
        <v>0</v>
      </c>
      <c r="F12" t="s">
        <v>0</v>
      </c>
    </row>
    <row r="13" spans="1:6">
      <c r="A13" t="s">
        <v>350</v>
      </c>
      <c r="B13" t="s">
        <v>107</v>
      </c>
      <c r="C13" t="s">
        <v>351</v>
      </c>
      <c r="D13" s="49">
        <v>45870</v>
      </c>
      <c r="E13" t="s">
        <v>3</v>
      </c>
      <c r="F13" t="s">
        <v>3</v>
      </c>
    </row>
    <row r="14" spans="1:6">
      <c r="A14" t="s">
        <v>168</v>
      </c>
      <c r="E14">
        <f>COUNTIF(E3:E13,"YES")</f>
        <v>7</v>
      </c>
      <c r="F14">
        <f>COUNTIF(F3:F13,"YES")</f>
        <v>7</v>
      </c>
    </row>
    <row r="15" spans="1:6">
      <c r="A15" t="s">
        <v>331</v>
      </c>
      <c r="E15" s="14">
        <f>E14/11</f>
        <v>0.63636363636363635</v>
      </c>
      <c r="F15" s="14">
        <f>F14/11</f>
        <v>0.63636363636363635</v>
      </c>
    </row>
  </sheetData>
  <autoFilter ref="E1:E15"/>
  <mergeCells count="4">
    <mergeCell ref="A1:A2"/>
    <mergeCell ref="B1:B2"/>
    <mergeCell ref="C1:C2"/>
    <mergeCell ref="D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5"/>
  <sheetViews>
    <sheetView topLeftCell="A62" workbookViewId="0">
      <selection activeCell="G86" sqref="G86"/>
    </sheetView>
  </sheetViews>
  <sheetFormatPr defaultRowHeight="14.5"/>
  <cols>
    <col min="2" max="2" width="14.33203125" bestFit="1" customWidth="1"/>
    <col min="3" max="3" width="14.33203125" customWidth="1"/>
    <col min="4" max="4" width="10.5" bestFit="1" customWidth="1"/>
    <col min="5" max="5" width="17.5" bestFit="1" customWidth="1"/>
    <col min="6" max="6" width="17.5" customWidth="1"/>
    <col min="7" max="7" width="10.5" customWidth="1"/>
    <col min="8" max="8" width="25.1640625" bestFit="1" customWidth="1"/>
    <col min="9" max="9" width="12.6640625" bestFit="1" customWidth="1"/>
    <col min="10" max="10" width="26.4140625" bestFit="1" customWidth="1"/>
    <col min="11" max="11" width="39.58203125" bestFit="1" customWidth="1"/>
  </cols>
  <sheetData>
    <row r="1" spans="1:11" ht="15.5">
      <c r="A1" s="23"/>
      <c r="B1" s="23" t="s">
        <v>306</v>
      </c>
      <c r="C1" s="23" t="s">
        <v>305</v>
      </c>
      <c r="D1" s="24" t="s">
        <v>169</v>
      </c>
      <c r="E1" s="67" t="s">
        <v>308</v>
      </c>
      <c r="F1" s="68"/>
      <c r="G1" s="78"/>
      <c r="H1" s="41" t="s">
        <v>307</v>
      </c>
      <c r="I1" s="42"/>
      <c r="J1" s="25"/>
      <c r="K1" s="25"/>
    </row>
    <row r="2" spans="1:11" ht="15.5">
      <c r="A2" s="23"/>
      <c r="B2" s="23"/>
      <c r="C2" s="23"/>
      <c r="D2" s="24"/>
      <c r="E2" s="24" t="s">
        <v>309</v>
      </c>
      <c r="F2" s="24" t="s">
        <v>310</v>
      </c>
      <c r="G2" s="24"/>
      <c r="H2" s="41"/>
      <c r="I2" s="42"/>
      <c r="J2" s="25"/>
      <c r="K2" s="25"/>
    </row>
    <row r="3" spans="1:11" ht="15">
      <c r="A3" s="26">
        <v>1</v>
      </c>
      <c r="B3" s="35" t="s">
        <v>303</v>
      </c>
      <c r="C3" s="35" t="s">
        <v>107</v>
      </c>
      <c r="D3" s="35" t="s">
        <v>5</v>
      </c>
      <c r="E3" s="46">
        <v>45811</v>
      </c>
      <c r="F3" s="35" t="s">
        <v>0</v>
      </c>
      <c r="G3" s="35" t="s">
        <v>0</v>
      </c>
      <c r="H3" s="36">
        <v>45811</v>
      </c>
      <c r="I3" s="37" t="s">
        <v>3</v>
      </c>
      <c r="J3" s="36"/>
      <c r="K3" s="37" t="s">
        <v>304</v>
      </c>
    </row>
    <row r="4" spans="1:11" ht="15">
      <c r="A4" s="26">
        <v>2</v>
      </c>
      <c r="B4" s="28" t="s">
        <v>226</v>
      </c>
      <c r="C4" s="28" t="s">
        <v>107</v>
      </c>
      <c r="D4" s="28" t="s">
        <v>5</v>
      </c>
      <c r="E4" s="45">
        <v>45870</v>
      </c>
      <c r="F4" s="28" t="s">
        <v>3</v>
      </c>
      <c r="G4" s="35" t="s">
        <v>3</v>
      </c>
      <c r="H4" s="29">
        <v>45818</v>
      </c>
      <c r="I4" s="30" t="s">
        <v>3</v>
      </c>
      <c r="J4" s="30" t="s">
        <v>183</v>
      </c>
      <c r="K4" s="31" t="s">
        <v>184</v>
      </c>
    </row>
    <row r="5" spans="1:11" ht="15">
      <c r="A5" s="26">
        <v>3</v>
      </c>
      <c r="B5" s="28" t="s">
        <v>294</v>
      </c>
      <c r="C5" s="28" t="s">
        <v>107</v>
      </c>
      <c r="D5" s="28" t="s">
        <v>210</v>
      </c>
      <c r="E5" s="45">
        <v>45870</v>
      </c>
      <c r="F5" s="28" t="s">
        <v>3</v>
      </c>
      <c r="G5" s="28" t="s">
        <v>3</v>
      </c>
      <c r="H5" s="29">
        <v>45818</v>
      </c>
      <c r="I5" s="30" t="s">
        <v>3</v>
      </c>
      <c r="J5" s="30" t="s">
        <v>183</v>
      </c>
      <c r="K5" s="31" t="s">
        <v>184</v>
      </c>
    </row>
    <row r="6" spans="1:11" ht="29">
      <c r="A6" s="26">
        <v>4</v>
      </c>
      <c r="B6" s="28" t="s">
        <v>274</v>
      </c>
      <c r="C6" s="28" t="s">
        <v>107</v>
      </c>
      <c r="D6" s="28" t="s">
        <v>210</v>
      </c>
      <c r="E6" s="45">
        <v>45870</v>
      </c>
      <c r="F6" s="28" t="s">
        <v>3</v>
      </c>
      <c r="G6" s="28" t="s">
        <v>3</v>
      </c>
      <c r="H6" s="29" t="s">
        <v>275</v>
      </c>
      <c r="I6" s="30" t="s">
        <v>3</v>
      </c>
      <c r="J6" s="31" t="s">
        <v>276</v>
      </c>
      <c r="K6" s="30" t="s">
        <v>277</v>
      </c>
    </row>
    <row r="7" spans="1:11" ht="15">
      <c r="A7" s="26">
        <v>5</v>
      </c>
      <c r="B7" s="28" t="s">
        <v>209</v>
      </c>
      <c r="C7" s="28" t="s">
        <v>107</v>
      </c>
      <c r="D7" s="28" t="s">
        <v>210</v>
      </c>
      <c r="E7" s="45">
        <v>45870</v>
      </c>
      <c r="F7" s="28" t="s">
        <v>3</v>
      </c>
      <c r="G7" s="28" t="s">
        <v>3</v>
      </c>
      <c r="H7" s="29">
        <v>45818</v>
      </c>
      <c r="I7" s="30" t="s">
        <v>3</v>
      </c>
      <c r="J7" s="30" t="s">
        <v>183</v>
      </c>
      <c r="K7" s="31" t="s">
        <v>184</v>
      </c>
    </row>
    <row r="8" spans="1:11" ht="15">
      <c r="A8" s="26">
        <v>6</v>
      </c>
      <c r="B8" s="28" t="s">
        <v>245</v>
      </c>
      <c r="C8" s="28" t="s">
        <v>107</v>
      </c>
      <c r="D8" s="28" t="s">
        <v>210</v>
      </c>
      <c r="E8" s="45">
        <v>45870</v>
      </c>
      <c r="F8" s="28" t="s">
        <v>3</v>
      </c>
      <c r="G8" s="28" t="s">
        <v>3</v>
      </c>
      <c r="H8" s="29">
        <v>45818</v>
      </c>
      <c r="I8" s="30" t="s">
        <v>3</v>
      </c>
      <c r="J8" s="30" t="s">
        <v>183</v>
      </c>
      <c r="K8" s="31" t="s">
        <v>184</v>
      </c>
    </row>
    <row r="9" spans="1:11" ht="15">
      <c r="A9" s="26">
        <v>7</v>
      </c>
      <c r="B9" s="28" t="s">
        <v>246</v>
      </c>
      <c r="C9" s="28" t="s">
        <v>107</v>
      </c>
      <c r="D9" s="28" t="s">
        <v>47</v>
      </c>
      <c r="E9" s="45">
        <v>45830</v>
      </c>
      <c r="F9" s="28" t="s">
        <v>0</v>
      </c>
      <c r="G9" s="28" t="s">
        <v>0</v>
      </c>
      <c r="H9" s="29">
        <v>45818</v>
      </c>
      <c r="I9" s="30" t="s">
        <v>3</v>
      </c>
      <c r="J9" s="30" t="s">
        <v>183</v>
      </c>
      <c r="K9" s="31" t="s">
        <v>184</v>
      </c>
    </row>
    <row r="10" spans="1:11" ht="15">
      <c r="A10" s="26">
        <v>8</v>
      </c>
      <c r="B10" s="28" t="s">
        <v>248</v>
      </c>
      <c r="C10" s="28" t="s">
        <v>107</v>
      </c>
      <c r="D10" s="28" t="s">
        <v>47</v>
      </c>
      <c r="E10" s="45">
        <v>45743</v>
      </c>
      <c r="F10" s="28" t="s">
        <v>0</v>
      </c>
      <c r="G10" s="28" t="s">
        <v>0</v>
      </c>
      <c r="H10" s="29" t="s">
        <v>249</v>
      </c>
      <c r="I10" s="30" t="s">
        <v>0</v>
      </c>
      <c r="J10" s="30" t="s">
        <v>250</v>
      </c>
      <c r="K10" s="31" t="s">
        <v>184</v>
      </c>
    </row>
    <row r="11" spans="1:11" ht="15">
      <c r="A11" s="26">
        <v>9</v>
      </c>
      <c r="B11" s="28" t="s">
        <v>251</v>
      </c>
      <c r="C11" s="28" t="s">
        <v>107</v>
      </c>
      <c r="D11" s="28" t="s">
        <v>252</v>
      </c>
      <c r="E11" s="45">
        <v>45861</v>
      </c>
      <c r="F11" s="28" t="s">
        <v>3</v>
      </c>
      <c r="G11" s="28" t="s">
        <v>0</v>
      </c>
      <c r="H11" s="29" t="s">
        <v>253</v>
      </c>
      <c r="I11" s="30" t="s">
        <v>0</v>
      </c>
      <c r="J11" s="30" t="s">
        <v>222</v>
      </c>
      <c r="K11" s="31" t="s">
        <v>254</v>
      </c>
    </row>
    <row r="12" spans="1:11" ht="15">
      <c r="A12" s="26">
        <v>10</v>
      </c>
      <c r="B12" s="28" t="s">
        <v>292</v>
      </c>
      <c r="C12" s="28" t="s">
        <v>107</v>
      </c>
      <c r="D12" s="28" t="s">
        <v>47</v>
      </c>
      <c r="E12" s="45">
        <v>45762</v>
      </c>
      <c r="F12" s="28" t="s">
        <v>0</v>
      </c>
      <c r="G12" s="28" t="s">
        <v>0</v>
      </c>
      <c r="H12" s="29" t="s">
        <v>293</v>
      </c>
      <c r="I12" s="30" t="s">
        <v>0</v>
      </c>
      <c r="J12" s="30" t="s">
        <v>250</v>
      </c>
      <c r="K12" s="32" t="s">
        <v>181</v>
      </c>
    </row>
    <row r="13" spans="1:11" ht="15">
      <c r="A13" s="26">
        <v>11</v>
      </c>
      <c r="B13" s="28" t="s">
        <v>302</v>
      </c>
      <c r="C13" s="28" t="s">
        <v>107</v>
      </c>
      <c r="D13" s="28" t="s">
        <v>45</v>
      </c>
      <c r="E13" s="45">
        <v>45870</v>
      </c>
      <c r="F13" s="28" t="s">
        <v>3</v>
      </c>
      <c r="G13" s="28" t="s">
        <v>3</v>
      </c>
      <c r="H13" s="29">
        <v>45818</v>
      </c>
      <c r="I13" s="30" t="s">
        <v>3</v>
      </c>
      <c r="J13" s="33" t="s">
        <v>236</v>
      </c>
      <c r="K13" s="31" t="s">
        <v>237</v>
      </c>
    </row>
    <row r="14" spans="1:11" ht="15">
      <c r="A14" s="26">
        <v>12</v>
      </c>
      <c r="B14" s="28" t="s">
        <v>219</v>
      </c>
      <c r="C14" s="28" t="s">
        <v>107</v>
      </c>
      <c r="D14" s="28" t="s">
        <v>45</v>
      </c>
      <c r="E14" s="45">
        <v>45822</v>
      </c>
      <c r="F14" s="28" t="s">
        <v>0</v>
      </c>
      <c r="G14" s="28" t="s">
        <v>0</v>
      </c>
      <c r="H14" s="29">
        <v>45818</v>
      </c>
      <c r="I14" s="30" t="s">
        <v>3</v>
      </c>
      <c r="J14" s="30" t="s">
        <v>183</v>
      </c>
      <c r="K14" s="31" t="s">
        <v>184</v>
      </c>
    </row>
    <row r="15" spans="1:11" ht="15">
      <c r="A15" s="26">
        <v>13</v>
      </c>
      <c r="B15" s="28" t="s">
        <v>235</v>
      </c>
      <c r="C15" s="28" t="s">
        <v>107</v>
      </c>
      <c r="D15" s="28" t="s">
        <v>45</v>
      </c>
      <c r="E15" s="45">
        <v>45870</v>
      </c>
      <c r="F15" s="28" t="s">
        <v>3</v>
      </c>
      <c r="G15" s="28" t="s">
        <v>3</v>
      </c>
      <c r="H15" s="29">
        <v>45818</v>
      </c>
      <c r="I15" s="30" t="s">
        <v>3</v>
      </c>
      <c r="J15" s="30" t="s">
        <v>236</v>
      </c>
      <c r="K15" s="31" t="s">
        <v>237</v>
      </c>
    </row>
    <row r="16" spans="1:11" ht="15">
      <c r="A16" s="26">
        <v>14</v>
      </c>
      <c r="B16" s="39" t="s">
        <v>295</v>
      </c>
      <c r="C16" s="39" t="s">
        <v>107</v>
      </c>
      <c r="D16" s="39" t="s">
        <v>65</v>
      </c>
      <c r="E16" s="47">
        <v>45870</v>
      </c>
      <c r="F16" s="39" t="s">
        <v>3</v>
      </c>
      <c r="G16" s="39" t="s">
        <v>3</v>
      </c>
      <c r="H16" s="40">
        <v>45818</v>
      </c>
      <c r="I16" s="33" t="s">
        <v>3</v>
      </c>
      <c r="J16" s="33" t="s">
        <v>183</v>
      </c>
      <c r="K16" s="31" t="s">
        <v>184</v>
      </c>
    </row>
    <row r="17" spans="1:11" ht="15">
      <c r="A17" s="26">
        <v>15</v>
      </c>
      <c r="B17" s="28" t="s">
        <v>234</v>
      </c>
      <c r="C17" s="28" t="s">
        <v>107</v>
      </c>
      <c r="D17" s="28" t="s">
        <v>65</v>
      </c>
      <c r="E17" s="45">
        <v>45845</v>
      </c>
      <c r="F17" s="28" t="s">
        <v>3</v>
      </c>
      <c r="G17" s="28" t="s">
        <v>0</v>
      </c>
      <c r="H17" s="29">
        <v>45816</v>
      </c>
      <c r="I17" s="30" t="s">
        <v>3</v>
      </c>
      <c r="J17" s="30" t="s">
        <v>183</v>
      </c>
      <c r="K17" s="31" t="s">
        <v>184</v>
      </c>
    </row>
    <row r="18" spans="1:11" ht="15">
      <c r="A18" s="26">
        <v>16</v>
      </c>
      <c r="B18" s="28" t="s">
        <v>227</v>
      </c>
      <c r="C18" s="28" t="s">
        <v>107</v>
      </c>
      <c r="D18" s="28" t="s">
        <v>4</v>
      </c>
      <c r="E18" s="45">
        <v>45870</v>
      </c>
      <c r="F18" s="28" t="s">
        <v>3</v>
      </c>
      <c r="G18" s="28" t="s">
        <v>3</v>
      </c>
      <c r="H18" s="29">
        <v>45818</v>
      </c>
      <c r="I18" s="30" t="s">
        <v>3</v>
      </c>
      <c r="J18" s="30" t="s">
        <v>183</v>
      </c>
      <c r="K18" s="31" t="s">
        <v>184</v>
      </c>
    </row>
    <row r="19" spans="1:11" ht="15">
      <c r="A19" s="26">
        <v>17</v>
      </c>
      <c r="B19" s="28" t="s">
        <v>194</v>
      </c>
      <c r="C19" s="28" t="s">
        <v>107</v>
      </c>
      <c r="D19" s="28" t="s">
        <v>4</v>
      </c>
      <c r="E19" s="45">
        <v>45798</v>
      </c>
      <c r="F19" s="28" t="s">
        <v>0</v>
      </c>
      <c r="G19" s="28" t="s">
        <v>0</v>
      </c>
      <c r="H19" s="29" t="s">
        <v>195</v>
      </c>
      <c r="I19" s="30" t="s">
        <v>0</v>
      </c>
      <c r="J19" s="30" t="s">
        <v>196</v>
      </c>
      <c r="K19" s="31" t="s">
        <v>197</v>
      </c>
    </row>
    <row r="20" spans="1:11" ht="15">
      <c r="A20" s="75" t="s">
        <v>107</v>
      </c>
      <c r="B20" s="76"/>
      <c r="C20" s="76"/>
      <c r="D20" s="77"/>
      <c r="E20" s="45"/>
      <c r="F20">
        <f>COUNTIF(F3:F19,"YES")</f>
        <v>11</v>
      </c>
      <c r="G20">
        <f>COUNTIF(G3:G19,"YES")</f>
        <v>9</v>
      </c>
      <c r="H20" s="29"/>
      <c r="I20" s="30"/>
      <c r="J20" s="30"/>
      <c r="K20" s="31"/>
    </row>
    <row r="21" spans="1:11" ht="15">
      <c r="A21" s="75" t="s">
        <v>107</v>
      </c>
      <c r="B21" s="76"/>
      <c r="C21" s="76"/>
      <c r="D21" s="77"/>
      <c r="E21" s="28"/>
      <c r="F21" s="14">
        <f>F20/17</f>
        <v>0.6470588235294118</v>
      </c>
      <c r="G21" s="14">
        <f>G20/17</f>
        <v>0.52941176470588236</v>
      </c>
      <c r="H21" s="29"/>
      <c r="I21" s="30"/>
      <c r="J21" s="30"/>
      <c r="K21" s="31"/>
    </row>
    <row r="22" spans="1:11" ht="15">
      <c r="A22" s="26">
        <v>1</v>
      </c>
      <c r="B22" s="28" t="s">
        <v>257</v>
      </c>
      <c r="C22" s="28" t="s">
        <v>108</v>
      </c>
      <c r="D22" s="28" t="s">
        <v>258</v>
      </c>
      <c r="E22" s="45">
        <v>45754</v>
      </c>
      <c r="F22" s="28" t="s">
        <v>0</v>
      </c>
      <c r="G22" s="28" t="s">
        <v>0</v>
      </c>
      <c r="H22" s="29">
        <v>45754</v>
      </c>
      <c r="I22" s="30" t="s">
        <v>0</v>
      </c>
      <c r="J22" s="30" t="s">
        <v>188</v>
      </c>
      <c r="K22" s="31" t="s">
        <v>216</v>
      </c>
    </row>
    <row r="23" spans="1:11" ht="15">
      <c r="A23" s="26">
        <v>2</v>
      </c>
      <c r="B23" s="48" t="s">
        <v>301</v>
      </c>
      <c r="C23" s="28" t="s">
        <v>108</v>
      </c>
      <c r="D23" s="28" t="s">
        <v>258</v>
      </c>
      <c r="E23" s="28"/>
      <c r="F23" s="28"/>
      <c r="G23" s="28"/>
      <c r="H23" s="29">
        <v>45818</v>
      </c>
      <c r="I23" s="30" t="s">
        <v>3</v>
      </c>
      <c r="J23" s="33" t="s">
        <v>312</v>
      </c>
      <c r="K23" s="31" t="s">
        <v>184</v>
      </c>
    </row>
    <row r="24" spans="1:11" ht="15">
      <c r="A24" s="26">
        <v>3</v>
      </c>
      <c r="B24" s="28" t="s">
        <v>182</v>
      </c>
      <c r="C24" s="28" t="s">
        <v>108</v>
      </c>
      <c r="D24" s="28" t="s">
        <v>5</v>
      </c>
      <c r="E24" s="45">
        <v>45870</v>
      </c>
      <c r="F24" s="28" t="s">
        <v>3</v>
      </c>
      <c r="G24" s="28" t="s">
        <v>3</v>
      </c>
      <c r="H24" s="29">
        <v>45818</v>
      </c>
      <c r="I24" s="30" t="s">
        <v>3</v>
      </c>
      <c r="J24" s="30" t="s">
        <v>183</v>
      </c>
      <c r="K24" s="31" t="s">
        <v>184</v>
      </c>
    </row>
    <row r="25" spans="1:11" ht="15">
      <c r="A25" s="26">
        <v>4</v>
      </c>
      <c r="B25" s="28" t="s">
        <v>198</v>
      </c>
      <c r="C25" s="28" t="s">
        <v>108</v>
      </c>
      <c r="D25" s="28" t="s">
        <v>29</v>
      </c>
      <c r="E25" s="45">
        <v>45751</v>
      </c>
      <c r="F25" s="28" t="s">
        <v>0</v>
      </c>
      <c r="G25" s="28" t="s">
        <v>0</v>
      </c>
      <c r="H25" s="29">
        <v>45751</v>
      </c>
      <c r="I25" s="30" t="s">
        <v>0</v>
      </c>
      <c r="J25" s="31" t="s">
        <v>180</v>
      </c>
      <c r="K25" s="32" t="s">
        <v>181</v>
      </c>
    </row>
    <row r="26" spans="1:11" ht="15">
      <c r="A26" s="26">
        <v>5</v>
      </c>
      <c r="B26" s="28" t="s">
        <v>265</v>
      </c>
      <c r="C26" s="28" t="s">
        <v>108</v>
      </c>
      <c r="D26" s="28" t="s">
        <v>29</v>
      </c>
      <c r="E26" s="45">
        <v>45870</v>
      </c>
      <c r="F26" s="28" t="s">
        <v>3</v>
      </c>
      <c r="G26" s="28" t="s">
        <v>3</v>
      </c>
      <c r="H26" s="29">
        <v>45818</v>
      </c>
      <c r="I26" s="30" t="s">
        <v>3</v>
      </c>
      <c r="J26" s="30" t="s">
        <v>183</v>
      </c>
      <c r="K26" s="31" t="s">
        <v>184</v>
      </c>
    </row>
    <row r="27" spans="1:11" ht="15">
      <c r="A27" s="26">
        <v>6</v>
      </c>
      <c r="B27" s="28" t="s">
        <v>215</v>
      </c>
      <c r="C27" s="28" t="s">
        <v>108</v>
      </c>
      <c r="D27" s="28" t="s">
        <v>29</v>
      </c>
      <c r="E27" s="45">
        <v>45707</v>
      </c>
      <c r="F27" s="28" t="s">
        <v>0</v>
      </c>
      <c r="G27" s="28" t="s">
        <v>0</v>
      </c>
      <c r="H27" s="29">
        <v>45707</v>
      </c>
      <c r="I27" s="30" t="s">
        <v>0</v>
      </c>
      <c r="J27" s="32" t="s">
        <v>188</v>
      </c>
      <c r="K27" s="32" t="s">
        <v>216</v>
      </c>
    </row>
    <row r="28" spans="1:11" ht="15">
      <c r="A28" s="26">
        <v>7</v>
      </c>
      <c r="B28" s="28" t="s">
        <v>211</v>
      </c>
      <c r="C28" s="28" t="s">
        <v>108</v>
      </c>
      <c r="D28" s="28" t="s">
        <v>2</v>
      </c>
      <c r="E28" s="45">
        <v>45870</v>
      </c>
      <c r="F28" s="28" t="s">
        <v>3</v>
      </c>
      <c r="G28" s="28" t="s">
        <v>3</v>
      </c>
      <c r="H28" s="29">
        <v>45818</v>
      </c>
      <c r="I28" s="30" t="s">
        <v>3</v>
      </c>
      <c r="J28" s="33" t="s">
        <v>212</v>
      </c>
      <c r="K28" s="31" t="s">
        <v>213</v>
      </c>
    </row>
    <row r="29" spans="1:11" ht="15">
      <c r="A29" s="26">
        <v>8</v>
      </c>
      <c r="B29" s="28" t="s">
        <v>244</v>
      </c>
      <c r="C29" s="28" t="s">
        <v>108</v>
      </c>
      <c r="D29" s="28" t="s">
        <v>2</v>
      </c>
      <c r="E29" s="45">
        <v>45870</v>
      </c>
      <c r="F29" s="28" t="s">
        <v>3</v>
      </c>
      <c r="G29" s="28" t="s">
        <v>3</v>
      </c>
      <c r="H29" s="29">
        <v>45818</v>
      </c>
      <c r="I29" s="30" t="s">
        <v>3</v>
      </c>
      <c r="J29" s="30" t="s">
        <v>183</v>
      </c>
      <c r="K29" s="31" t="s">
        <v>184</v>
      </c>
    </row>
    <row r="30" spans="1:11" ht="15">
      <c r="A30" s="75" t="s">
        <v>108</v>
      </c>
      <c r="B30" s="76"/>
      <c r="C30" s="76"/>
      <c r="D30" s="77"/>
      <c r="F30">
        <f>COUNTIF(F22:F29,"YES")</f>
        <v>4</v>
      </c>
      <c r="G30">
        <f>COUNTIF(G22:G29,"YES")</f>
        <v>4</v>
      </c>
      <c r="H30" s="29"/>
      <c r="I30" s="30"/>
      <c r="J30" s="30"/>
      <c r="K30" s="31"/>
    </row>
    <row r="31" spans="1:11" ht="15">
      <c r="A31" s="75" t="s">
        <v>108</v>
      </c>
      <c r="B31" s="76"/>
      <c r="C31" s="76"/>
      <c r="D31" s="77"/>
      <c r="F31" s="14">
        <f>F30/8</f>
        <v>0.5</v>
      </c>
      <c r="G31" s="14">
        <f>G30/8</f>
        <v>0.5</v>
      </c>
      <c r="H31" s="29"/>
      <c r="I31" s="30"/>
      <c r="J31" s="30"/>
      <c r="K31" s="31"/>
    </row>
    <row r="32" spans="1:11" ht="15">
      <c r="A32" s="26">
        <v>1</v>
      </c>
      <c r="B32" s="28" t="s">
        <v>296</v>
      </c>
      <c r="C32" s="28" t="s">
        <v>106</v>
      </c>
      <c r="D32" s="28" t="s">
        <v>297</v>
      </c>
      <c r="E32" s="45">
        <v>45870</v>
      </c>
      <c r="F32" s="28" t="s">
        <v>3</v>
      </c>
      <c r="G32" s="28" t="s">
        <v>3</v>
      </c>
      <c r="H32" s="29">
        <v>45818</v>
      </c>
      <c r="I32" s="30" t="s">
        <v>3</v>
      </c>
      <c r="J32" s="33" t="s">
        <v>183</v>
      </c>
      <c r="K32" s="31" t="s">
        <v>184</v>
      </c>
    </row>
    <row r="33" spans="1:11" ht="15">
      <c r="A33" s="26">
        <v>2</v>
      </c>
      <c r="B33" s="28" t="s">
        <v>84</v>
      </c>
      <c r="C33" s="28" t="s">
        <v>106</v>
      </c>
      <c r="D33" s="28" t="s">
        <v>231</v>
      </c>
      <c r="E33" s="45">
        <v>45870</v>
      </c>
      <c r="F33" s="28" t="s">
        <v>3</v>
      </c>
      <c r="G33" s="28" t="s">
        <v>3</v>
      </c>
      <c r="H33" s="29">
        <v>45818</v>
      </c>
      <c r="I33" s="30" t="s">
        <v>3</v>
      </c>
      <c r="J33" s="30" t="s">
        <v>183</v>
      </c>
      <c r="K33" s="31" t="s">
        <v>184</v>
      </c>
    </row>
    <row r="34" spans="1:11" ht="15">
      <c r="A34" s="26">
        <v>3</v>
      </c>
      <c r="B34" s="28" t="s">
        <v>232</v>
      </c>
      <c r="C34" s="28" t="s">
        <v>106</v>
      </c>
      <c r="D34" s="28" t="s">
        <v>231</v>
      </c>
      <c r="E34" s="45">
        <v>45870</v>
      </c>
      <c r="F34" s="28" t="s">
        <v>3</v>
      </c>
      <c r="G34" s="28" t="s">
        <v>3</v>
      </c>
      <c r="H34" s="29" t="s">
        <v>298</v>
      </c>
      <c r="I34" s="30" t="s">
        <v>0</v>
      </c>
      <c r="J34" s="30" t="s">
        <v>250</v>
      </c>
      <c r="K34" s="31" t="s">
        <v>184</v>
      </c>
    </row>
    <row r="35" spans="1:11" ht="15">
      <c r="A35" s="26">
        <v>4</v>
      </c>
      <c r="B35" s="28" t="s">
        <v>271</v>
      </c>
      <c r="C35" s="28" t="s">
        <v>106</v>
      </c>
      <c r="D35" s="28" t="s">
        <v>231</v>
      </c>
      <c r="E35" s="45">
        <v>45773</v>
      </c>
      <c r="F35" s="28" t="s">
        <v>0</v>
      </c>
      <c r="G35" s="28" t="s">
        <v>0</v>
      </c>
      <c r="H35" s="29" t="s">
        <v>272</v>
      </c>
      <c r="I35" s="30" t="s">
        <v>0</v>
      </c>
      <c r="J35" s="30" t="s">
        <v>250</v>
      </c>
      <c r="K35" s="31" t="s">
        <v>184</v>
      </c>
    </row>
    <row r="36" spans="1:11" ht="15">
      <c r="A36" s="26">
        <v>5</v>
      </c>
      <c r="B36" s="28" t="s">
        <v>299</v>
      </c>
      <c r="C36" s="28" t="s">
        <v>106</v>
      </c>
      <c r="D36" s="28" t="s">
        <v>231</v>
      </c>
      <c r="E36" s="45">
        <v>45869</v>
      </c>
      <c r="F36" s="28" t="s">
        <v>3</v>
      </c>
      <c r="G36" s="28" t="s">
        <v>0</v>
      </c>
      <c r="H36" s="29">
        <v>45453</v>
      </c>
      <c r="I36" s="30" t="s">
        <v>3</v>
      </c>
      <c r="J36" s="30" t="s">
        <v>250</v>
      </c>
      <c r="K36" s="31" t="s">
        <v>184</v>
      </c>
    </row>
    <row r="37" spans="1:11" ht="15">
      <c r="A37" s="26">
        <v>6</v>
      </c>
      <c r="B37" s="28" t="s">
        <v>21</v>
      </c>
      <c r="C37" s="28" t="s">
        <v>106</v>
      </c>
      <c r="D37" s="28" t="s">
        <v>255</v>
      </c>
      <c r="E37" s="45">
        <v>45830</v>
      </c>
      <c r="F37" s="28" t="s">
        <v>0</v>
      </c>
      <c r="G37" s="28" t="s">
        <v>0</v>
      </c>
      <c r="H37" s="29">
        <v>45815</v>
      </c>
      <c r="I37" s="30" t="s">
        <v>3</v>
      </c>
      <c r="J37" s="30" t="s">
        <v>250</v>
      </c>
      <c r="K37" s="31" t="s">
        <v>184</v>
      </c>
    </row>
    <row r="38" spans="1:11" ht="15">
      <c r="A38" s="26">
        <v>8</v>
      </c>
      <c r="B38" s="28" t="s">
        <v>238</v>
      </c>
      <c r="C38" s="28" t="s">
        <v>106</v>
      </c>
      <c r="D38" s="28" t="s">
        <v>239</v>
      </c>
      <c r="E38" s="45">
        <v>45823</v>
      </c>
      <c r="F38" s="28" t="s">
        <v>0</v>
      </c>
      <c r="G38" s="28" t="s">
        <v>0</v>
      </c>
      <c r="H38" s="29">
        <v>45818</v>
      </c>
      <c r="I38" s="30" t="s">
        <v>3</v>
      </c>
      <c r="J38" s="30" t="s">
        <v>183</v>
      </c>
      <c r="K38" s="31" t="s">
        <v>184</v>
      </c>
    </row>
    <row r="39" spans="1:11" ht="29">
      <c r="A39" s="26">
        <v>10</v>
      </c>
      <c r="B39" s="28" t="s">
        <v>187</v>
      </c>
      <c r="C39" s="28" t="s">
        <v>106</v>
      </c>
      <c r="D39" s="28" t="s">
        <v>67</v>
      </c>
      <c r="E39" s="45">
        <v>45756</v>
      </c>
      <c r="F39" s="28" t="s">
        <v>0</v>
      </c>
      <c r="G39" s="28" t="s">
        <v>0</v>
      </c>
      <c r="H39" s="29">
        <v>45756</v>
      </c>
      <c r="I39" s="30" t="s">
        <v>3</v>
      </c>
      <c r="J39" s="30" t="s">
        <v>188</v>
      </c>
      <c r="K39" s="31" t="s">
        <v>189</v>
      </c>
    </row>
    <row r="40" spans="1:11" ht="15">
      <c r="A40" s="26">
        <v>11</v>
      </c>
      <c r="B40" s="28" t="s">
        <v>185</v>
      </c>
      <c r="C40" s="28" t="s">
        <v>106</v>
      </c>
      <c r="D40" s="28" t="s">
        <v>67</v>
      </c>
      <c r="E40" s="45">
        <v>45870</v>
      </c>
      <c r="F40" s="28" t="s">
        <v>3</v>
      </c>
      <c r="G40" s="28" t="s">
        <v>3</v>
      </c>
      <c r="H40" s="29">
        <v>45818</v>
      </c>
      <c r="I40" s="30" t="s">
        <v>3</v>
      </c>
      <c r="J40" s="30" t="s">
        <v>183</v>
      </c>
      <c r="K40" s="31" t="s">
        <v>184</v>
      </c>
    </row>
    <row r="41" spans="1:11" ht="15">
      <c r="A41" s="26">
        <v>12</v>
      </c>
      <c r="B41" s="28" t="s">
        <v>192</v>
      </c>
      <c r="C41" s="28" t="s">
        <v>106</v>
      </c>
      <c r="D41" s="28" t="s">
        <v>67</v>
      </c>
      <c r="E41" s="45">
        <v>45870</v>
      </c>
      <c r="F41" s="28" t="s">
        <v>3</v>
      </c>
      <c r="G41" s="28" t="s">
        <v>3</v>
      </c>
      <c r="H41" s="29">
        <v>45818</v>
      </c>
      <c r="I41" s="30" t="s">
        <v>3</v>
      </c>
      <c r="J41" s="30" t="s">
        <v>183</v>
      </c>
      <c r="K41" s="31" t="s">
        <v>184</v>
      </c>
    </row>
    <row r="42" spans="1:11" ht="15">
      <c r="A42" s="26">
        <v>13</v>
      </c>
      <c r="B42" s="28" t="s">
        <v>300</v>
      </c>
      <c r="C42" s="28" t="s">
        <v>106</v>
      </c>
      <c r="D42" s="28" t="s">
        <v>67</v>
      </c>
      <c r="E42" s="45">
        <v>45870</v>
      </c>
      <c r="F42" s="28" t="s">
        <v>3</v>
      </c>
      <c r="G42" s="28" t="s">
        <v>3</v>
      </c>
      <c r="H42" s="29">
        <v>45453</v>
      </c>
      <c r="I42" s="30" t="s">
        <v>3</v>
      </c>
      <c r="J42" s="33" t="s">
        <v>183</v>
      </c>
      <c r="K42" s="31" t="s">
        <v>184</v>
      </c>
    </row>
    <row r="43" spans="1:11" ht="15">
      <c r="A43" s="75" t="s">
        <v>106</v>
      </c>
      <c r="B43" s="76"/>
      <c r="C43" s="76"/>
      <c r="D43" s="77"/>
      <c r="E43" s="45"/>
      <c r="F43">
        <f>COUNTIF(F32:F42,"YES")</f>
        <v>7</v>
      </c>
      <c r="G43">
        <f>COUNTIF(G32:G42,"YES")</f>
        <v>6</v>
      </c>
      <c r="H43" s="29"/>
      <c r="I43" s="30"/>
      <c r="J43" s="33"/>
      <c r="K43" s="31"/>
    </row>
    <row r="44" spans="1:11" ht="15">
      <c r="A44" s="75" t="s">
        <v>106</v>
      </c>
      <c r="B44" s="76"/>
      <c r="C44" s="76"/>
      <c r="D44" s="77"/>
      <c r="E44" s="28"/>
      <c r="F44" s="14">
        <f>F43/13</f>
        <v>0.53846153846153844</v>
      </c>
      <c r="G44" s="14">
        <f>G43/13</f>
        <v>0.46153846153846156</v>
      </c>
      <c r="H44" s="29"/>
      <c r="I44" s="30"/>
      <c r="J44" s="33"/>
      <c r="K44" s="31"/>
    </row>
    <row r="45" spans="1:11" ht="43.5">
      <c r="A45" s="26">
        <v>1</v>
      </c>
      <c r="B45" s="28" t="s">
        <v>199</v>
      </c>
      <c r="C45" s="28" t="s">
        <v>165</v>
      </c>
      <c r="D45" s="28" t="s">
        <v>179</v>
      </c>
      <c r="E45" s="45">
        <v>45733</v>
      </c>
      <c r="F45" s="28" t="s">
        <v>0</v>
      </c>
      <c r="G45" s="28" t="s">
        <v>0</v>
      </c>
      <c r="H45" s="29">
        <v>45818</v>
      </c>
      <c r="I45" s="30" t="s">
        <v>3</v>
      </c>
      <c r="J45" s="31" t="s">
        <v>200</v>
      </c>
      <c r="K45" s="31" t="s">
        <v>201</v>
      </c>
    </row>
    <row r="46" spans="1:11" ht="15">
      <c r="A46" s="26">
        <v>2</v>
      </c>
      <c r="B46" s="28" t="s">
        <v>266</v>
      </c>
      <c r="C46" s="28" t="s">
        <v>165</v>
      </c>
      <c r="D46" s="28" t="s">
        <v>179</v>
      </c>
      <c r="E46" s="45">
        <v>45728</v>
      </c>
      <c r="F46" s="28" t="s">
        <v>0</v>
      </c>
      <c r="G46" s="28" t="s">
        <v>0</v>
      </c>
      <c r="H46" s="29">
        <v>45728</v>
      </c>
      <c r="I46" s="30" t="s">
        <v>0</v>
      </c>
      <c r="J46" s="30" t="s">
        <v>267</v>
      </c>
      <c r="K46" s="31" t="s">
        <v>268</v>
      </c>
    </row>
    <row r="47" spans="1:11" ht="15">
      <c r="A47" s="26">
        <v>7</v>
      </c>
      <c r="B47" s="28" t="s">
        <v>178</v>
      </c>
      <c r="C47" s="28" t="s">
        <v>165</v>
      </c>
      <c r="D47" s="28" t="s">
        <v>179</v>
      </c>
      <c r="E47" s="45">
        <v>45782</v>
      </c>
      <c r="F47" s="28" t="s">
        <v>0</v>
      </c>
      <c r="G47" s="28" t="s">
        <v>0</v>
      </c>
      <c r="H47" s="29">
        <v>45782</v>
      </c>
      <c r="I47" s="30" t="s">
        <v>0</v>
      </c>
      <c r="J47" s="31" t="s">
        <v>180</v>
      </c>
      <c r="K47" s="32" t="s">
        <v>181</v>
      </c>
    </row>
    <row r="48" spans="1:11" ht="15">
      <c r="A48" s="26">
        <v>3</v>
      </c>
      <c r="B48" s="28" t="s">
        <v>214</v>
      </c>
      <c r="C48" s="28" t="s">
        <v>165</v>
      </c>
      <c r="D48" s="28" t="s">
        <v>18</v>
      </c>
      <c r="E48" s="45">
        <v>45870</v>
      </c>
      <c r="F48" s="28" t="s">
        <v>3</v>
      </c>
      <c r="G48" s="28" t="s">
        <v>3</v>
      </c>
      <c r="H48" s="29">
        <v>45818</v>
      </c>
      <c r="I48" s="30" t="s">
        <v>3</v>
      </c>
      <c r="J48" s="30" t="s">
        <v>183</v>
      </c>
      <c r="K48" s="31" t="s">
        <v>184</v>
      </c>
    </row>
    <row r="49" spans="1:11" ht="15">
      <c r="A49" s="26">
        <v>4</v>
      </c>
      <c r="B49" s="28" t="s">
        <v>278</v>
      </c>
      <c r="C49" s="28" t="s">
        <v>165</v>
      </c>
      <c r="D49" s="28" t="s">
        <v>18</v>
      </c>
      <c r="E49" s="45">
        <v>45870</v>
      </c>
      <c r="F49" s="28" t="s">
        <v>3</v>
      </c>
      <c r="G49" s="28" t="s">
        <v>3</v>
      </c>
      <c r="H49" s="29">
        <v>45818</v>
      </c>
      <c r="I49" s="30" t="s">
        <v>3</v>
      </c>
      <c r="J49" s="30" t="s">
        <v>183</v>
      </c>
      <c r="K49" s="31" t="s">
        <v>184</v>
      </c>
    </row>
    <row r="50" spans="1:11" ht="15">
      <c r="A50" s="26">
        <v>5</v>
      </c>
      <c r="B50" s="28" t="s">
        <v>287</v>
      </c>
      <c r="C50" s="28" t="s">
        <v>165</v>
      </c>
      <c r="D50" s="28" t="s">
        <v>18</v>
      </c>
      <c r="E50" s="45">
        <v>45739</v>
      </c>
      <c r="F50" s="28" t="s">
        <v>0</v>
      </c>
      <c r="G50" s="28" t="s">
        <v>0</v>
      </c>
      <c r="H50" s="29" t="s">
        <v>288</v>
      </c>
      <c r="I50" s="30" t="s">
        <v>0</v>
      </c>
      <c r="J50" s="31" t="s">
        <v>289</v>
      </c>
      <c r="K50" s="33" t="s">
        <v>283</v>
      </c>
    </row>
    <row r="51" spans="1:11" ht="15">
      <c r="A51" s="26">
        <v>6</v>
      </c>
      <c r="B51" s="28" t="s">
        <v>193</v>
      </c>
      <c r="C51" s="28" t="s">
        <v>165</v>
      </c>
      <c r="D51" s="28" t="s">
        <v>18</v>
      </c>
      <c r="E51" s="45">
        <v>45870</v>
      </c>
      <c r="F51" s="28" t="s">
        <v>3</v>
      </c>
      <c r="G51" s="28" t="s">
        <v>3</v>
      </c>
      <c r="H51" s="29">
        <v>45818</v>
      </c>
      <c r="I51" s="30" t="s">
        <v>3</v>
      </c>
      <c r="J51" s="30" t="s">
        <v>183</v>
      </c>
      <c r="K51" s="31" t="s">
        <v>184</v>
      </c>
    </row>
    <row r="52" spans="1:11" ht="15">
      <c r="A52" s="26">
        <v>7</v>
      </c>
      <c r="B52" s="28" t="s">
        <v>229</v>
      </c>
      <c r="C52" s="28" t="s">
        <v>165</v>
      </c>
      <c r="D52" s="28" t="s">
        <v>230</v>
      </c>
      <c r="E52" s="45">
        <v>45870</v>
      </c>
      <c r="F52" s="28" t="s">
        <v>3</v>
      </c>
      <c r="G52" s="28" t="s">
        <v>3</v>
      </c>
      <c r="H52" s="29">
        <v>45818</v>
      </c>
      <c r="I52" s="30" t="s">
        <v>3</v>
      </c>
      <c r="J52" s="30" t="s">
        <v>183</v>
      </c>
      <c r="K52" s="31" t="s">
        <v>184</v>
      </c>
    </row>
    <row r="53" spans="1:11" ht="15">
      <c r="A53" s="26">
        <v>8</v>
      </c>
      <c r="B53" s="28" t="s">
        <v>220</v>
      </c>
      <c r="C53" s="28" t="s">
        <v>165</v>
      </c>
      <c r="D53" s="28" t="s">
        <v>221</v>
      </c>
      <c r="E53" s="45">
        <v>45728</v>
      </c>
      <c r="F53" s="28" t="s">
        <v>0</v>
      </c>
      <c r="G53" s="28" t="s">
        <v>0</v>
      </c>
      <c r="H53" s="29">
        <v>45728</v>
      </c>
      <c r="I53" s="30" t="s">
        <v>0</v>
      </c>
      <c r="J53" s="30" t="s">
        <v>222</v>
      </c>
      <c r="K53" s="31" t="s">
        <v>223</v>
      </c>
    </row>
    <row r="54" spans="1:11" ht="15">
      <c r="A54" s="26">
        <v>9</v>
      </c>
      <c r="B54" s="28" t="s">
        <v>247</v>
      </c>
      <c r="C54" s="28" t="s">
        <v>165</v>
      </c>
      <c r="D54" s="28" t="s">
        <v>221</v>
      </c>
      <c r="E54" s="45">
        <v>45870</v>
      </c>
      <c r="F54" s="28" t="s">
        <v>3</v>
      </c>
      <c r="G54" s="28" t="s">
        <v>3</v>
      </c>
      <c r="H54" s="29">
        <v>45818</v>
      </c>
      <c r="I54" s="30" t="s">
        <v>3</v>
      </c>
      <c r="J54" s="30" t="s">
        <v>183</v>
      </c>
      <c r="K54" s="31" t="s">
        <v>184</v>
      </c>
    </row>
    <row r="55" spans="1:11" ht="15">
      <c r="A55" s="26">
        <v>10</v>
      </c>
      <c r="B55" s="28" t="s">
        <v>228</v>
      </c>
      <c r="C55" s="28" t="s">
        <v>165</v>
      </c>
      <c r="D55" s="28" t="s">
        <v>205</v>
      </c>
      <c r="E55" s="45">
        <v>45870</v>
      </c>
      <c r="F55" s="28" t="s">
        <v>3</v>
      </c>
      <c r="G55" s="28" t="s">
        <v>3</v>
      </c>
      <c r="H55" s="29">
        <v>45818</v>
      </c>
      <c r="I55" s="30" t="s">
        <v>3</v>
      </c>
      <c r="J55" s="30" t="s">
        <v>183</v>
      </c>
      <c r="K55" s="31" t="s">
        <v>184</v>
      </c>
    </row>
    <row r="56" spans="1:11" ht="15">
      <c r="A56" s="26">
        <v>11</v>
      </c>
      <c r="B56" s="28" t="s">
        <v>204</v>
      </c>
      <c r="C56" s="28" t="s">
        <v>165</v>
      </c>
      <c r="D56" s="28" t="s">
        <v>205</v>
      </c>
      <c r="E56" s="45">
        <v>45681</v>
      </c>
      <c r="F56" s="28" t="s">
        <v>0</v>
      </c>
      <c r="G56" s="28" t="s">
        <v>0</v>
      </c>
      <c r="H56" s="29" t="s">
        <v>206</v>
      </c>
      <c r="I56" s="30" t="s">
        <v>0</v>
      </c>
      <c r="J56" s="33" t="s">
        <v>207</v>
      </c>
      <c r="K56" s="31" t="s">
        <v>184</v>
      </c>
    </row>
    <row r="57" spans="1:11" ht="15">
      <c r="A57" s="26">
        <v>12</v>
      </c>
      <c r="B57" s="35" t="s">
        <v>262</v>
      </c>
      <c r="C57" s="35" t="s">
        <v>165</v>
      </c>
      <c r="D57" s="35" t="s">
        <v>241</v>
      </c>
      <c r="E57" s="46">
        <v>45752</v>
      </c>
      <c r="F57" s="35" t="s">
        <v>0</v>
      </c>
      <c r="G57" s="35" t="s">
        <v>0</v>
      </c>
      <c r="H57" s="36">
        <v>45752</v>
      </c>
      <c r="I57" s="37" t="s">
        <v>0</v>
      </c>
      <c r="J57" s="34" t="s">
        <v>180</v>
      </c>
      <c r="K57" s="38" t="s">
        <v>181</v>
      </c>
    </row>
    <row r="58" spans="1:11" ht="15">
      <c r="A58" s="26">
        <v>9</v>
      </c>
      <c r="B58" s="28" t="s">
        <v>269</v>
      </c>
      <c r="C58" s="28" t="s">
        <v>165</v>
      </c>
      <c r="D58" s="28" t="s">
        <v>241</v>
      </c>
      <c r="E58" s="45">
        <v>45671</v>
      </c>
      <c r="F58" s="28" t="s">
        <v>0</v>
      </c>
      <c r="G58" s="28" t="s">
        <v>0</v>
      </c>
      <c r="H58" s="29" t="s">
        <v>270</v>
      </c>
      <c r="I58" s="30" t="s">
        <v>0</v>
      </c>
      <c r="J58" s="30" t="s">
        <v>250</v>
      </c>
      <c r="K58" s="31" t="s">
        <v>184</v>
      </c>
    </row>
    <row r="59" spans="1:11" ht="15">
      <c r="A59" s="26">
        <v>13</v>
      </c>
      <c r="B59" s="28" t="s">
        <v>264</v>
      </c>
      <c r="C59" s="28" t="s">
        <v>165</v>
      </c>
      <c r="D59" s="28" t="s">
        <v>241</v>
      </c>
      <c r="E59" s="45">
        <v>45870</v>
      </c>
      <c r="F59" s="28" t="s">
        <v>3</v>
      </c>
      <c r="G59" s="28" t="s">
        <v>3</v>
      </c>
      <c r="H59" s="29">
        <v>45818</v>
      </c>
      <c r="I59" s="30" t="s">
        <v>3</v>
      </c>
      <c r="J59" s="30" t="s">
        <v>183</v>
      </c>
      <c r="K59" s="31" t="s">
        <v>184</v>
      </c>
    </row>
    <row r="60" spans="1:11" ht="29">
      <c r="A60" s="26">
        <v>14</v>
      </c>
      <c r="B60" s="28" t="s">
        <v>240</v>
      </c>
      <c r="C60" s="28" t="s">
        <v>165</v>
      </c>
      <c r="D60" s="28" t="s">
        <v>241</v>
      </c>
      <c r="E60" s="45">
        <v>45857</v>
      </c>
      <c r="F60" s="28" t="s">
        <v>3</v>
      </c>
      <c r="G60" s="28" t="s">
        <v>0</v>
      </c>
      <c r="H60" s="29">
        <v>45818</v>
      </c>
      <c r="I60" s="30" t="s">
        <v>3</v>
      </c>
      <c r="J60" s="30" t="s">
        <v>242</v>
      </c>
      <c r="K60" s="31" t="s">
        <v>243</v>
      </c>
    </row>
    <row r="61" spans="1:11" ht="15">
      <c r="A61" s="26">
        <v>15</v>
      </c>
      <c r="B61" s="28" t="s">
        <v>290</v>
      </c>
      <c r="C61" s="28" t="s">
        <v>165</v>
      </c>
      <c r="D61" s="28" t="s">
        <v>24</v>
      </c>
      <c r="E61" s="45">
        <v>45732</v>
      </c>
      <c r="F61" s="28" t="s">
        <v>0</v>
      </c>
      <c r="G61" s="28" t="s">
        <v>0</v>
      </c>
      <c r="H61" s="29" t="s">
        <v>291</v>
      </c>
      <c r="I61" s="30" t="s">
        <v>0</v>
      </c>
      <c r="J61" s="34" t="s">
        <v>180</v>
      </c>
      <c r="K61" s="31" t="s">
        <v>184</v>
      </c>
    </row>
    <row r="62" spans="1:11" ht="15">
      <c r="A62" s="26">
        <v>16</v>
      </c>
      <c r="B62" s="28" t="s">
        <v>256</v>
      </c>
      <c r="C62" s="28" t="s">
        <v>165</v>
      </c>
      <c r="D62" s="28" t="s">
        <v>24</v>
      </c>
      <c r="E62" s="45">
        <v>45750</v>
      </c>
      <c r="F62" s="28" t="s">
        <v>0</v>
      </c>
      <c r="G62" s="28" t="s">
        <v>0</v>
      </c>
      <c r="H62" s="29">
        <v>45750</v>
      </c>
      <c r="I62" s="30" t="s">
        <v>0</v>
      </c>
      <c r="J62" s="34" t="s">
        <v>180</v>
      </c>
      <c r="K62" s="32" t="s">
        <v>181</v>
      </c>
    </row>
    <row r="63" spans="1:11" ht="15">
      <c r="A63" s="26">
        <v>17</v>
      </c>
      <c r="B63" s="28" t="s">
        <v>273</v>
      </c>
      <c r="C63" s="28" t="s">
        <v>165</v>
      </c>
      <c r="D63" s="28" t="s">
        <v>24</v>
      </c>
      <c r="E63" s="45">
        <v>45870</v>
      </c>
      <c r="F63" s="28" t="s">
        <v>3</v>
      </c>
      <c r="G63" s="28" t="s">
        <v>3</v>
      </c>
      <c r="H63" s="29">
        <v>45818</v>
      </c>
      <c r="I63" s="30" t="s">
        <v>3</v>
      </c>
      <c r="J63" s="30" t="s">
        <v>183</v>
      </c>
      <c r="K63" s="31" t="s">
        <v>184</v>
      </c>
    </row>
    <row r="64" spans="1:11" ht="15">
      <c r="A64" s="75" t="s">
        <v>104</v>
      </c>
      <c r="B64" s="76"/>
      <c r="C64" s="76"/>
      <c r="D64" s="77"/>
      <c r="E64" s="28"/>
      <c r="F64">
        <f>COUNTIF(F45:F63,"YES")</f>
        <v>9</v>
      </c>
      <c r="G64">
        <f>COUNTIF(G45:G63,"YES")</f>
        <v>8</v>
      </c>
      <c r="H64" s="29"/>
      <c r="I64" s="30"/>
      <c r="J64" s="30"/>
      <c r="K64" s="31"/>
    </row>
    <row r="65" spans="1:11" ht="15">
      <c r="A65" s="75" t="s">
        <v>104</v>
      </c>
      <c r="B65" s="76"/>
      <c r="C65" s="76"/>
      <c r="D65" s="77"/>
      <c r="E65" s="28"/>
      <c r="F65" s="14">
        <f>F64/17</f>
        <v>0.52941176470588236</v>
      </c>
      <c r="G65" s="14">
        <f>G64/17</f>
        <v>0.47058823529411764</v>
      </c>
      <c r="H65" s="29"/>
      <c r="I65" s="30"/>
      <c r="J65" s="30"/>
      <c r="K65" s="31"/>
    </row>
    <row r="66" spans="1:11" ht="15">
      <c r="A66" s="26">
        <v>1</v>
      </c>
      <c r="B66" s="28" t="s">
        <v>190</v>
      </c>
      <c r="C66" s="28" t="s">
        <v>105</v>
      </c>
      <c r="D66" s="28" t="s">
        <v>191</v>
      </c>
      <c r="E66" s="45">
        <v>45870</v>
      </c>
      <c r="F66" s="28" t="s">
        <v>3</v>
      </c>
      <c r="G66" s="28" t="s">
        <v>3</v>
      </c>
      <c r="H66" s="29">
        <v>45818</v>
      </c>
      <c r="I66" s="30" t="s">
        <v>3</v>
      </c>
      <c r="J66" s="30" t="s">
        <v>183</v>
      </c>
      <c r="K66" s="31" t="s">
        <v>184</v>
      </c>
    </row>
    <row r="67" spans="1:11" ht="29">
      <c r="A67" s="26">
        <v>2</v>
      </c>
      <c r="B67" s="28" t="s">
        <v>284</v>
      </c>
      <c r="C67" s="28" t="s">
        <v>105</v>
      </c>
      <c r="D67" s="28" t="s">
        <v>191</v>
      </c>
      <c r="E67" s="45">
        <v>45845</v>
      </c>
      <c r="F67" s="28" t="s">
        <v>3</v>
      </c>
      <c r="G67" s="28" t="s">
        <v>0</v>
      </c>
      <c r="H67" s="29">
        <v>45818</v>
      </c>
      <c r="I67" s="30" t="s">
        <v>3</v>
      </c>
      <c r="J67" s="31" t="s">
        <v>282</v>
      </c>
      <c r="K67" s="33" t="s">
        <v>283</v>
      </c>
    </row>
    <row r="68" spans="1:11" ht="29">
      <c r="A68" s="26">
        <v>3</v>
      </c>
      <c r="B68" s="28" t="s">
        <v>281</v>
      </c>
      <c r="C68" s="28" t="s">
        <v>105</v>
      </c>
      <c r="D68" s="28" t="s">
        <v>191</v>
      </c>
      <c r="E68" s="45">
        <v>45870</v>
      </c>
      <c r="F68" s="28" t="s">
        <v>3</v>
      </c>
      <c r="G68" s="28" t="s">
        <v>3</v>
      </c>
      <c r="H68" s="29">
        <v>45818</v>
      </c>
      <c r="I68" s="30" t="s">
        <v>3</v>
      </c>
      <c r="J68" s="31" t="s">
        <v>282</v>
      </c>
      <c r="K68" s="33" t="s">
        <v>283</v>
      </c>
    </row>
    <row r="69" spans="1:11" ht="15">
      <c r="A69" s="26">
        <v>4</v>
      </c>
      <c r="B69" s="28" t="s">
        <v>279</v>
      </c>
      <c r="C69" s="28" t="s">
        <v>105</v>
      </c>
      <c r="D69" s="28" t="s">
        <v>60</v>
      </c>
      <c r="E69" s="45">
        <v>45820</v>
      </c>
      <c r="F69" s="28" t="s">
        <v>0</v>
      </c>
      <c r="G69" s="28" t="s">
        <v>0</v>
      </c>
      <c r="H69" s="29">
        <v>45818</v>
      </c>
      <c r="I69" s="30" t="s">
        <v>3</v>
      </c>
      <c r="J69" s="30" t="s">
        <v>183</v>
      </c>
      <c r="K69" s="31" t="s">
        <v>184</v>
      </c>
    </row>
    <row r="70" spans="1:11" ht="15">
      <c r="A70" s="26">
        <v>5</v>
      </c>
      <c r="B70" s="28" t="s">
        <v>217</v>
      </c>
      <c r="C70" s="28" t="s">
        <v>105</v>
      </c>
      <c r="D70" s="28" t="s">
        <v>218</v>
      </c>
      <c r="E70" s="45">
        <v>45870</v>
      </c>
      <c r="F70" s="28" t="s">
        <v>3</v>
      </c>
      <c r="G70" s="28" t="s">
        <v>3</v>
      </c>
      <c r="H70" s="29">
        <v>45818</v>
      </c>
      <c r="I70" s="30" t="s">
        <v>3</v>
      </c>
      <c r="J70" s="30" t="s">
        <v>183</v>
      </c>
      <c r="K70" s="31" t="s">
        <v>184</v>
      </c>
    </row>
    <row r="71" spans="1:11" ht="29">
      <c r="A71" s="26">
        <v>6</v>
      </c>
      <c r="B71" s="27" t="s">
        <v>170</v>
      </c>
      <c r="C71" s="27" t="s">
        <v>105</v>
      </c>
      <c r="D71" s="28" t="s">
        <v>171</v>
      </c>
      <c r="E71" s="45">
        <v>45833</v>
      </c>
      <c r="F71" s="28" t="s">
        <v>0</v>
      </c>
      <c r="G71" s="28" t="s">
        <v>0</v>
      </c>
      <c r="H71" s="29">
        <v>45818</v>
      </c>
      <c r="I71" s="30" t="s">
        <v>3</v>
      </c>
      <c r="J71" s="30" t="s">
        <v>172</v>
      </c>
      <c r="K71" s="31" t="s">
        <v>173</v>
      </c>
    </row>
    <row r="72" spans="1:11" ht="29">
      <c r="A72" s="26">
        <v>7</v>
      </c>
      <c r="B72" s="28" t="s">
        <v>174</v>
      </c>
      <c r="C72" s="28" t="s">
        <v>105</v>
      </c>
      <c r="D72" s="28" t="s">
        <v>175</v>
      </c>
      <c r="E72" s="52">
        <v>45634</v>
      </c>
      <c r="F72" s="28" t="s">
        <v>0</v>
      </c>
      <c r="G72" s="28" t="s">
        <v>0</v>
      </c>
      <c r="H72" s="29">
        <v>45634</v>
      </c>
      <c r="I72" s="30" t="s">
        <v>3</v>
      </c>
      <c r="J72" s="32" t="s">
        <v>176</v>
      </c>
      <c r="K72" s="31" t="s">
        <v>177</v>
      </c>
    </row>
    <row r="73" spans="1:11" ht="15">
      <c r="A73" s="26">
        <v>8</v>
      </c>
      <c r="B73" s="28" t="s">
        <v>280</v>
      </c>
      <c r="C73" s="28" t="s">
        <v>105</v>
      </c>
      <c r="D73" s="28" t="s">
        <v>175</v>
      </c>
      <c r="E73" s="45">
        <v>45870</v>
      </c>
      <c r="F73" s="28" t="s">
        <v>3</v>
      </c>
      <c r="G73" s="28" t="s">
        <v>3</v>
      </c>
      <c r="H73" s="29">
        <v>45818</v>
      </c>
      <c r="I73" s="30" t="s">
        <v>3</v>
      </c>
      <c r="J73" s="30" t="s">
        <v>183</v>
      </c>
      <c r="K73" s="31" t="s">
        <v>184</v>
      </c>
    </row>
    <row r="74" spans="1:11" ht="15">
      <c r="A74" s="26">
        <v>9</v>
      </c>
      <c r="B74" s="28" t="s">
        <v>186</v>
      </c>
      <c r="C74" s="28" t="s">
        <v>105</v>
      </c>
      <c r="D74" s="28" t="s">
        <v>175</v>
      </c>
      <c r="E74" s="45">
        <v>45870</v>
      </c>
      <c r="F74" s="28" t="s">
        <v>3</v>
      </c>
      <c r="G74" s="28" t="s">
        <v>3</v>
      </c>
      <c r="H74" s="29">
        <v>45818</v>
      </c>
      <c r="I74" s="30" t="s">
        <v>3</v>
      </c>
      <c r="J74" s="30" t="s">
        <v>183</v>
      </c>
      <c r="K74" s="31" t="s">
        <v>184</v>
      </c>
    </row>
    <row r="75" spans="1:11" ht="15">
      <c r="A75" s="26">
        <v>10</v>
      </c>
      <c r="B75" s="28" t="s">
        <v>233</v>
      </c>
      <c r="C75" s="28" t="s">
        <v>105</v>
      </c>
      <c r="D75" s="28" t="s">
        <v>175</v>
      </c>
      <c r="E75" s="45">
        <v>45870</v>
      </c>
      <c r="F75" s="28" t="s">
        <v>3</v>
      </c>
      <c r="G75" s="28" t="s">
        <v>3</v>
      </c>
      <c r="H75" s="29">
        <v>45818</v>
      </c>
      <c r="I75" s="30" t="s">
        <v>3</v>
      </c>
      <c r="J75" s="30" t="s">
        <v>183</v>
      </c>
      <c r="K75" s="31" t="s">
        <v>184</v>
      </c>
    </row>
    <row r="76" spans="1:11" ht="15">
      <c r="A76" s="26">
        <v>11</v>
      </c>
      <c r="B76" s="28" t="s">
        <v>224</v>
      </c>
      <c r="C76" s="28" t="s">
        <v>105</v>
      </c>
      <c r="D76" s="28" t="s">
        <v>225</v>
      </c>
      <c r="E76" s="52">
        <v>45608</v>
      </c>
      <c r="F76" s="28" t="s">
        <v>0</v>
      </c>
      <c r="G76" s="28" t="s">
        <v>0</v>
      </c>
      <c r="H76" s="29">
        <v>45608</v>
      </c>
      <c r="I76" s="30" t="s">
        <v>0</v>
      </c>
      <c r="J76" s="31" t="s">
        <v>180</v>
      </c>
      <c r="K76" s="32" t="s">
        <v>181</v>
      </c>
    </row>
    <row r="77" spans="1:11" ht="15">
      <c r="A77" s="26">
        <v>12</v>
      </c>
      <c r="B77" s="28" t="s">
        <v>263</v>
      </c>
      <c r="C77" s="28" t="s">
        <v>105</v>
      </c>
      <c r="D77" s="28" t="s">
        <v>225</v>
      </c>
      <c r="E77" s="45">
        <v>45755</v>
      </c>
      <c r="F77" s="28" t="s">
        <v>0</v>
      </c>
      <c r="G77" s="28" t="s">
        <v>0</v>
      </c>
      <c r="H77" s="29">
        <v>45755</v>
      </c>
      <c r="I77" s="30" t="s">
        <v>0</v>
      </c>
      <c r="J77" s="30" t="s">
        <v>250</v>
      </c>
      <c r="K77" s="32" t="s">
        <v>181</v>
      </c>
    </row>
    <row r="78" spans="1:11" ht="15">
      <c r="A78" s="26">
        <v>13</v>
      </c>
      <c r="B78" s="28" t="s">
        <v>285</v>
      </c>
      <c r="C78" s="28" t="s">
        <v>105</v>
      </c>
      <c r="D78" s="28" t="s">
        <v>225</v>
      </c>
      <c r="E78" s="45">
        <v>45670</v>
      </c>
      <c r="F78" s="28" t="s">
        <v>0</v>
      </c>
      <c r="G78" s="28" t="s">
        <v>0</v>
      </c>
      <c r="H78" s="29" t="s">
        <v>286</v>
      </c>
      <c r="I78" s="30" t="s">
        <v>0</v>
      </c>
      <c r="J78" s="30" t="s">
        <v>180</v>
      </c>
      <c r="K78" s="31" t="s">
        <v>181</v>
      </c>
    </row>
    <row r="79" spans="1:11" ht="15">
      <c r="A79" s="26">
        <v>18</v>
      </c>
      <c r="B79" s="28" t="s">
        <v>259</v>
      </c>
      <c r="C79" s="28" t="s">
        <v>105</v>
      </c>
      <c r="D79" s="28" t="s">
        <v>203</v>
      </c>
      <c r="E79" s="45">
        <v>45870</v>
      </c>
      <c r="F79" s="28" t="s">
        <v>3</v>
      </c>
      <c r="G79" s="28" t="s">
        <v>3</v>
      </c>
      <c r="H79" s="29">
        <v>45818</v>
      </c>
      <c r="I79" s="30" t="s">
        <v>3</v>
      </c>
      <c r="J79" s="30" t="s">
        <v>260</v>
      </c>
      <c r="K79" s="31" t="s">
        <v>261</v>
      </c>
    </row>
    <row r="80" spans="1:11" ht="15">
      <c r="A80" s="26">
        <v>14</v>
      </c>
      <c r="B80" s="28" t="s">
        <v>208</v>
      </c>
      <c r="C80" s="28" t="s">
        <v>105</v>
      </c>
      <c r="D80" s="28" t="s">
        <v>203</v>
      </c>
      <c r="E80" s="45">
        <v>45870</v>
      </c>
      <c r="F80" s="28" t="s">
        <v>3</v>
      </c>
      <c r="G80" s="28" t="s">
        <v>3</v>
      </c>
      <c r="H80" s="29">
        <v>45818</v>
      </c>
      <c r="I80" s="30" t="s">
        <v>3</v>
      </c>
      <c r="J80" s="30" t="s">
        <v>183</v>
      </c>
      <c r="K80" s="31" t="s">
        <v>184</v>
      </c>
    </row>
    <row r="81" spans="1:11" ht="15">
      <c r="A81" s="26">
        <v>15</v>
      </c>
      <c r="B81" s="28" t="s">
        <v>202</v>
      </c>
      <c r="C81" s="28" t="s">
        <v>105</v>
      </c>
      <c r="D81" s="28" t="s">
        <v>203</v>
      </c>
      <c r="E81" s="45">
        <v>45857</v>
      </c>
      <c r="F81" s="28" t="s">
        <v>3</v>
      </c>
      <c r="G81" s="28" t="s">
        <v>0</v>
      </c>
      <c r="H81" s="29">
        <v>45818</v>
      </c>
      <c r="I81" s="30" t="s">
        <v>3</v>
      </c>
      <c r="J81" s="30" t="s">
        <v>183</v>
      </c>
      <c r="K81" s="31" t="s">
        <v>184</v>
      </c>
    </row>
    <row r="82" spans="1:11" ht="15">
      <c r="A82" s="56"/>
      <c r="B82" s="57" t="s">
        <v>105</v>
      </c>
      <c r="C82" s="57"/>
      <c r="D82" s="57"/>
      <c r="E82" s="58"/>
      <c r="F82">
        <f>COUNTIF(F66:F79,"YES")</f>
        <v>8</v>
      </c>
      <c r="G82">
        <f>COUNTIF(G66:G79,"YES")</f>
        <v>7</v>
      </c>
      <c r="H82" s="59"/>
      <c r="I82" s="60"/>
      <c r="J82" s="60"/>
      <c r="K82" s="61"/>
    </row>
    <row r="83" spans="1:11" ht="15">
      <c r="A83" s="56"/>
      <c r="B83" s="57" t="s">
        <v>105</v>
      </c>
      <c r="C83" s="57"/>
      <c r="D83" s="57"/>
      <c r="E83" s="58"/>
      <c r="F83" s="14">
        <f>F82/15</f>
        <v>0.53333333333333333</v>
      </c>
      <c r="G83" s="14">
        <f>G82/15</f>
        <v>0.46666666666666667</v>
      </c>
      <c r="H83" s="59"/>
      <c r="I83" s="60"/>
      <c r="J83" s="60"/>
      <c r="K83" s="61"/>
    </row>
    <row r="84" spans="1:11">
      <c r="B84" t="s">
        <v>168</v>
      </c>
      <c r="F84">
        <f>COUNTIF(F3:F81,"YES")</f>
        <v>41</v>
      </c>
      <c r="G84">
        <f>COUNTIF(G3:G81,"YES")</f>
        <v>35</v>
      </c>
    </row>
    <row r="85" spans="1:11">
      <c r="B85" t="s">
        <v>331</v>
      </c>
      <c r="F85" s="14">
        <f>F84/70</f>
        <v>0.58571428571428574</v>
      </c>
      <c r="G85" s="14">
        <f>G84/70</f>
        <v>0.5</v>
      </c>
    </row>
  </sheetData>
  <autoFilter ref="F1:F85"/>
  <sortState ref="A1:L72">
    <sortCondition ref="C1:C72"/>
    <sortCondition ref="D1:D72"/>
  </sortState>
  <mergeCells count="9">
    <mergeCell ref="A65:D65"/>
    <mergeCell ref="A31:D31"/>
    <mergeCell ref="A43:D43"/>
    <mergeCell ref="A20:D20"/>
    <mergeCell ref="E1:G1"/>
    <mergeCell ref="A21:D21"/>
    <mergeCell ref="A30:D30"/>
    <mergeCell ref="A44:D44"/>
    <mergeCell ref="A64:D64"/>
  </mergeCells>
  <conditionalFormatting sqref="H1:H2 H4:H80">
    <cfRule type="containsBlanks" dxfId="1" priority="2">
      <formula>LEN(TRIM(H1))=0</formula>
    </cfRule>
  </conditionalFormatting>
  <conditionalFormatting sqref="H81:H83">
    <cfRule type="containsBlanks" dxfId="0" priority="1">
      <formula>LEN(TRIM(H81))=0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F61"/>
  <sheetViews>
    <sheetView tabSelected="1" workbookViewId="0">
      <selection activeCell="I16" sqref="I16"/>
    </sheetView>
  </sheetViews>
  <sheetFormatPr defaultRowHeight="14.5"/>
  <cols>
    <col min="5" max="5" width="9.9140625" bestFit="1" customWidth="1"/>
  </cols>
  <sheetData>
    <row r="3" spans="1:6">
      <c r="A3" s="8"/>
      <c r="B3" s="63" t="s">
        <v>7</v>
      </c>
      <c r="C3" s="63" t="s">
        <v>103</v>
      </c>
      <c r="D3" s="64" t="s">
        <v>8</v>
      </c>
      <c r="E3" s="4">
        <f>E5/(E5+F5)</f>
        <v>0.80769230769230771</v>
      </c>
      <c r="F3" s="4">
        <f>F5/(E5+F5)</f>
        <v>0.19230769230769232</v>
      </c>
    </row>
    <row r="4" spans="1:6" ht="15">
      <c r="A4" s="8"/>
      <c r="B4" s="63"/>
      <c r="C4" s="63"/>
      <c r="D4" s="64"/>
      <c r="E4" s="43">
        <v>45665</v>
      </c>
      <c r="F4" s="43"/>
    </row>
    <row r="5" spans="1:6">
      <c r="A5" s="8"/>
      <c r="B5" s="63"/>
      <c r="C5" s="63"/>
      <c r="D5" s="64"/>
      <c r="E5" s="3">
        <f>COUNTIF(E6:E61,"YES")</f>
        <v>42</v>
      </c>
      <c r="F5" s="1">
        <f>COUNTIF(F6:F61,"NO")</f>
        <v>10</v>
      </c>
    </row>
    <row r="6" spans="1:6">
      <c r="A6" s="8" t="s">
        <v>109</v>
      </c>
      <c r="B6" s="8" t="s">
        <v>30</v>
      </c>
      <c r="C6" s="8" t="s">
        <v>107</v>
      </c>
      <c r="D6" t="s">
        <v>31</v>
      </c>
      <c r="E6" t="s">
        <v>3</v>
      </c>
    </row>
    <row r="7" spans="1:6">
      <c r="A7" s="8" t="s">
        <v>110</v>
      </c>
      <c r="B7" s="8" t="s">
        <v>54</v>
      </c>
      <c r="C7" s="8" t="s">
        <v>107</v>
      </c>
      <c r="D7" t="s">
        <v>31</v>
      </c>
      <c r="E7" t="s">
        <v>3</v>
      </c>
    </row>
    <row r="8" spans="1:6">
      <c r="A8" s="8" t="s">
        <v>111</v>
      </c>
      <c r="B8" s="8" t="s">
        <v>74</v>
      </c>
      <c r="C8" s="8" t="s">
        <v>107</v>
      </c>
      <c r="D8" t="s">
        <v>31</v>
      </c>
      <c r="E8" t="s">
        <v>3</v>
      </c>
    </row>
    <row r="9" spans="1:6">
      <c r="A9" s="8" t="s">
        <v>112</v>
      </c>
      <c r="B9" s="8" t="s">
        <v>26</v>
      </c>
      <c r="C9" s="8" t="s">
        <v>107</v>
      </c>
      <c r="D9" t="s">
        <v>5</v>
      </c>
      <c r="E9" t="s">
        <v>3</v>
      </c>
    </row>
    <row r="10" spans="1:6">
      <c r="A10" s="8" t="s">
        <v>113</v>
      </c>
      <c r="B10" s="9" t="s">
        <v>39</v>
      </c>
      <c r="C10" s="9" t="s">
        <v>107</v>
      </c>
      <c r="D10" s="1" t="s">
        <v>5</v>
      </c>
      <c r="E10" s="1"/>
      <c r="F10" s="1" t="s">
        <v>0</v>
      </c>
    </row>
    <row r="11" spans="1:6">
      <c r="A11" s="8" t="s">
        <v>114</v>
      </c>
      <c r="B11" s="8" t="s">
        <v>11</v>
      </c>
      <c r="C11" s="8" t="s">
        <v>107</v>
      </c>
      <c r="D11" t="s">
        <v>12</v>
      </c>
      <c r="E11" t="s">
        <v>3</v>
      </c>
    </row>
    <row r="12" spans="1:6">
      <c r="A12" s="8" t="s">
        <v>115</v>
      </c>
      <c r="B12" s="8" t="s">
        <v>44</v>
      </c>
      <c r="C12" s="8" t="s">
        <v>107</v>
      </c>
      <c r="D12" t="s">
        <v>12</v>
      </c>
      <c r="E12" t="s">
        <v>3</v>
      </c>
    </row>
    <row r="13" spans="1:6">
      <c r="A13" s="8" t="s">
        <v>116</v>
      </c>
      <c r="B13" s="8" t="s">
        <v>55</v>
      </c>
      <c r="C13" s="8" t="s">
        <v>107</v>
      </c>
      <c r="D13" t="s">
        <v>12</v>
      </c>
      <c r="E13" t="s">
        <v>3</v>
      </c>
    </row>
    <row r="14" spans="1:6">
      <c r="A14" s="8" t="s">
        <v>117</v>
      </c>
      <c r="B14" s="8" t="s">
        <v>58</v>
      </c>
      <c r="C14" s="8" t="s">
        <v>107</v>
      </c>
      <c r="D14" t="s">
        <v>12</v>
      </c>
      <c r="E14" t="s">
        <v>3</v>
      </c>
    </row>
    <row r="15" spans="1:6">
      <c r="A15" s="8" t="s">
        <v>118</v>
      </c>
      <c r="B15" s="8" t="s">
        <v>47</v>
      </c>
      <c r="C15" s="8" t="s">
        <v>107</v>
      </c>
      <c r="D15" t="s">
        <v>48</v>
      </c>
      <c r="E15" t="s">
        <v>3</v>
      </c>
    </row>
    <row r="16" spans="1:6">
      <c r="A16" s="8" t="s">
        <v>119</v>
      </c>
      <c r="B16" s="8" t="s">
        <v>50</v>
      </c>
      <c r="C16" s="8" t="s">
        <v>107</v>
      </c>
      <c r="D16" t="s">
        <v>48</v>
      </c>
      <c r="E16" t="s">
        <v>3</v>
      </c>
    </row>
    <row r="17" spans="1:6">
      <c r="A17" s="8" t="s">
        <v>120</v>
      </c>
      <c r="B17" s="8" t="s">
        <v>57</v>
      </c>
      <c r="C17" s="8" t="s">
        <v>107</v>
      </c>
      <c r="D17" t="s">
        <v>48</v>
      </c>
      <c r="E17" t="s">
        <v>3</v>
      </c>
    </row>
    <row r="18" spans="1:6">
      <c r="A18" s="8" t="s">
        <v>121</v>
      </c>
      <c r="B18" s="8" t="s">
        <v>73</v>
      </c>
      <c r="C18" s="8" t="s">
        <v>107</v>
      </c>
      <c r="D18" t="s">
        <v>48</v>
      </c>
      <c r="E18" t="s">
        <v>3</v>
      </c>
    </row>
    <row r="19" spans="1:6">
      <c r="A19" s="8" t="s">
        <v>122</v>
      </c>
      <c r="B19" s="8" t="s">
        <v>9</v>
      </c>
      <c r="C19" s="8" t="s">
        <v>107</v>
      </c>
      <c r="D19" t="s">
        <v>10</v>
      </c>
      <c r="E19" t="s">
        <v>3</v>
      </c>
    </row>
    <row r="20" spans="1:6">
      <c r="A20" s="8" t="s">
        <v>123</v>
      </c>
      <c r="B20" s="8" t="s">
        <v>46</v>
      </c>
      <c r="C20" s="8" t="s">
        <v>107</v>
      </c>
      <c r="D20" t="s">
        <v>10</v>
      </c>
      <c r="E20" t="s">
        <v>3</v>
      </c>
    </row>
    <row r="21" spans="1:6">
      <c r="A21" s="8" t="s">
        <v>124</v>
      </c>
      <c r="B21" s="8" t="s">
        <v>53</v>
      </c>
      <c r="C21" s="8" t="s">
        <v>107</v>
      </c>
      <c r="D21" t="s">
        <v>10</v>
      </c>
      <c r="E21" t="s">
        <v>3</v>
      </c>
    </row>
    <row r="22" spans="1:6">
      <c r="A22" s="8" t="s">
        <v>125</v>
      </c>
      <c r="B22" s="10" t="s">
        <v>4</v>
      </c>
      <c r="C22" s="10" t="s">
        <v>107</v>
      </c>
      <c r="D22" s="6" t="s">
        <v>4</v>
      </c>
      <c r="E22" t="s">
        <v>3</v>
      </c>
    </row>
    <row r="23" spans="1:6">
      <c r="A23" s="8" t="s">
        <v>153</v>
      </c>
      <c r="B23" s="8" t="s">
        <v>79</v>
      </c>
      <c r="C23" s="8" t="s">
        <v>107</v>
      </c>
      <c r="D23" t="s">
        <v>45</v>
      </c>
      <c r="E23" t="s">
        <v>3</v>
      </c>
    </row>
    <row r="24" spans="1:6">
      <c r="A24" s="20" t="s">
        <v>163</v>
      </c>
      <c r="B24" s="20"/>
      <c r="C24" s="20"/>
      <c r="D24" s="20"/>
      <c r="E24" s="16"/>
      <c r="F24" s="16"/>
    </row>
    <row r="25" spans="1:6">
      <c r="A25" s="8" t="s">
        <v>126</v>
      </c>
      <c r="B25" s="8" t="s">
        <v>32</v>
      </c>
      <c r="C25" s="8" t="s">
        <v>108</v>
      </c>
      <c r="D25" t="s">
        <v>33</v>
      </c>
      <c r="E25" t="s">
        <v>3</v>
      </c>
    </row>
    <row r="26" spans="1:6">
      <c r="A26" s="8" t="s">
        <v>127</v>
      </c>
      <c r="B26" s="8" t="s">
        <v>38</v>
      </c>
      <c r="C26" s="8" t="s">
        <v>108</v>
      </c>
      <c r="D26" t="s">
        <v>33</v>
      </c>
      <c r="F26" t="s">
        <v>0</v>
      </c>
    </row>
    <row r="27" spans="1:6">
      <c r="A27" s="8" t="s">
        <v>128</v>
      </c>
      <c r="B27" s="8" t="s">
        <v>59</v>
      </c>
      <c r="C27" s="8" t="s">
        <v>108</v>
      </c>
      <c r="D27" t="s">
        <v>33</v>
      </c>
      <c r="E27" t="s">
        <v>3</v>
      </c>
    </row>
    <row r="28" spans="1:6">
      <c r="A28" s="8" t="s">
        <v>129</v>
      </c>
      <c r="B28" s="8" t="s">
        <v>69</v>
      </c>
      <c r="C28" s="8" t="s">
        <v>108</v>
      </c>
      <c r="D28" t="s">
        <v>33</v>
      </c>
      <c r="E28" t="s">
        <v>3</v>
      </c>
    </row>
    <row r="29" spans="1:6">
      <c r="A29" s="8" t="s">
        <v>130</v>
      </c>
      <c r="B29" s="8" t="s">
        <v>72</v>
      </c>
      <c r="C29" s="8" t="s">
        <v>108</v>
      </c>
      <c r="D29" t="s">
        <v>33</v>
      </c>
      <c r="E29" s="1"/>
      <c r="F29" s="1" t="s">
        <v>0</v>
      </c>
    </row>
    <row r="30" spans="1:6">
      <c r="A30" s="8" t="s">
        <v>131</v>
      </c>
      <c r="B30" s="8" t="s">
        <v>6</v>
      </c>
      <c r="C30" s="8" t="s">
        <v>108</v>
      </c>
      <c r="D30" t="s">
        <v>29</v>
      </c>
      <c r="E30" s="1"/>
      <c r="F30" s="1" t="s">
        <v>0</v>
      </c>
    </row>
    <row r="31" spans="1:6">
      <c r="A31" s="8" t="s">
        <v>132</v>
      </c>
      <c r="B31" s="8" t="s">
        <v>1</v>
      </c>
      <c r="C31" s="8" t="s">
        <v>108</v>
      </c>
      <c r="D31" t="s">
        <v>2</v>
      </c>
      <c r="F31" t="s">
        <v>0</v>
      </c>
    </row>
    <row r="32" spans="1:6">
      <c r="A32" s="8" t="s">
        <v>133</v>
      </c>
      <c r="B32" s="8" t="s">
        <v>49</v>
      </c>
      <c r="C32" s="8" t="s">
        <v>108</v>
      </c>
      <c r="D32" t="s">
        <v>2</v>
      </c>
      <c r="E32" t="s">
        <v>3</v>
      </c>
    </row>
    <row r="33" spans="1:6">
      <c r="A33" s="18" t="s">
        <v>164</v>
      </c>
      <c r="B33" s="18"/>
      <c r="C33" s="18"/>
      <c r="D33" s="16"/>
      <c r="E33" s="16"/>
      <c r="F33" s="16"/>
    </row>
    <row r="34" spans="1:6">
      <c r="A34" s="8" t="s">
        <v>134</v>
      </c>
      <c r="B34" s="8" t="s">
        <v>15</v>
      </c>
      <c r="C34" s="8" t="s">
        <v>106</v>
      </c>
      <c r="D34" t="s">
        <v>16</v>
      </c>
      <c r="E34" t="s">
        <v>3</v>
      </c>
    </row>
    <row r="35" spans="1:6">
      <c r="A35" s="8" t="s">
        <v>135</v>
      </c>
      <c r="B35" s="8" t="s">
        <v>80</v>
      </c>
      <c r="C35" s="8" t="s">
        <v>106</v>
      </c>
      <c r="D35" t="s">
        <v>16</v>
      </c>
      <c r="E35" t="s">
        <v>3</v>
      </c>
    </row>
    <row r="36" spans="1:6">
      <c r="A36" s="8" t="s">
        <v>136</v>
      </c>
      <c r="B36" s="8" t="s">
        <v>25</v>
      </c>
      <c r="C36" s="8" t="s">
        <v>106</v>
      </c>
      <c r="D36" t="s">
        <v>16</v>
      </c>
      <c r="E36" t="s">
        <v>3</v>
      </c>
    </row>
    <row r="37" spans="1:6">
      <c r="A37" s="8" t="s">
        <v>137</v>
      </c>
      <c r="B37" s="8" t="s">
        <v>61</v>
      </c>
      <c r="C37" s="8" t="s">
        <v>106</v>
      </c>
      <c r="D37" t="s">
        <v>16</v>
      </c>
      <c r="E37" t="s">
        <v>3</v>
      </c>
    </row>
    <row r="38" spans="1:6">
      <c r="A38" s="8" t="s">
        <v>138</v>
      </c>
      <c r="B38" s="8" t="s">
        <v>70</v>
      </c>
      <c r="C38" s="8" t="s">
        <v>106</v>
      </c>
      <c r="D38" t="s">
        <v>71</v>
      </c>
      <c r="E38" t="s">
        <v>3</v>
      </c>
    </row>
    <row r="39" spans="1:6">
      <c r="A39" s="8" t="s">
        <v>139</v>
      </c>
      <c r="B39" s="8" t="s">
        <v>21</v>
      </c>
      <c r="C39" s="8" t="s">
        <v>106</v>
      </c>
      <c r="D39" t="s">
        <v>22</v>
      </c>
      <c r="E39" t="s">
        <v>3</v>
      </c>
    </row>
    <row r="40" spans="1:6">
      <c r="A40" s="8" t="s">
        <v>140</v>
      </c>
      <c r="B40" s="9" t="s">
        <v>84</v>
      </c>
      <c r="C40" s="9" t="s">
        <v>106</v>
      </c>
      <c r="D40" s="1" t="s">
        <v>22</v>
      </c>
      <c r="E40" s="1"/>
      <c r="F40" s="1" t="s">
        <v>0</v>
      </c>
    </row>
    <row r="41" spans="1:6">
      <c r="A41" s="8" t="s">
        <v>141</v>
      </c>
      <c r="B41" s="8" t="s">
        <v>56</v>
      </c>
      <c r="C41" s="8" t="s">
        <v>106</v>
      </c>
      <c r="D41" t="s">
        <v>22</v>
      </c>
      <c r="F41" t="s">
        <v>0</v>
      </c>
    </row>
    <row r="42" spans="1:6">
      <c r="A42" s="8" t="s">
        <v>142</v>
      </c>
      <c r="B42" s="8" t="s">
        <v>27</v>
      </c>
      <c r="C42" s="8" t="s">
        <v>106</v>
      </c>
      <c r="D42" t="s">
        <v>28</v>
      </c>
      <c r="E42" t="s">
        <v>3</v>
      </c>
    </row>
    <row r="43" spans="1:6">
      <c r="A43" s="8" t="s">
        <v>143</v>
      </c>
      <c r="B43" s="8" t="s">
        <v>66</v>
      </c>
      <c r="C43" s="8" t="s">
        <v>106</v>
      </c>
      <c r="D43" t="s">
        <v>67</v>
      </c>
      <c r="E43" t="s">
        <v>3</v>
      </c>
    </row>
    <row r="44" spans="1:6">
      <c r="A44" s="18"/>
      <c r="B44" s="18" t="s">
        <v>106</v>
      </c>
      <c r="C44" s="18"/>
      <c r="D44" s="16"/>
      <c r="E44" s="16"/>
      <c r="F44" s="16"/>
    </row>
    <row r="45" spans="1:6">
      <c r="A45" s="8" t="s">
        <v>144</v>
      </c>
      <c r="B45" s="8" t="s">
        <v>51</v>
      </c>
      <c r="C45" s="8" t="s">
        <v>104</v>
      </c>
      <c r="D45" t="s">
        <v>52</v>
      </c>
      <c r="E45" t="s">
        <v>3</v>
      </c>
    </row>
    <row r="46" spans="1:6">
      <c r="A46" s="8" t="s">
        <v>145</v>
      </c>
      <c r="B46" s="8" t="s">
        <v>17</v>
      </c>
      <c r="C46" s="8" t="s">
        <v>104</v>
      </c>
      <c r="D46" t="s">
        <v>18</v>
      </c>
      <c r="E46" t="s">
        <v>3</v>
      </c>
    </row>
    <row r="47" spans="1:6">
      <c r="A47" s="8" t="s">
        <v>146</v>
      </c>
      <c r="B47" s="8" t="s">
        <v>68</v>
      </c>
      <c r="C47" s="8" t="s">
        <v>104</v>
      </c>
      <c r="D47" t="s">
        <v>18</v>
      </c>
      <c r="E47" s="1"/>
      <c r="F47" s="1" t="s">
        <v>0</v>
      </c>
    </row>
    <row r="48" spans="1:6">
      <c r="A48" s="8" t="s">
        <v>147</v>
      </c>
      <c r="B48" s="8" t="s">
        <v>13</v>
      </c>
      <c r="C48" s="8" t="s">
        <v>104</v>
      </c>
      <c r="D48" t="s">
        <v>14</v>
      </c>
      <c r="E48" t="s">
        <v>3</v>
      </c>
    </row>
    <row r="49" spans="1:6">
      <c r="A49" s="8" t="s">
        <v>148</v>
      </c>
      <c r="B49" s="8" t="s">
        <v>34</v>
      </c>
      <c r="C49" s="8" t="s">
        <v>104</v>
      </c>
      <c r="D49" t="s">
        <v>35</v>
      </c>
      <c r="E49" t="s">
        <v>3</v>
      </c>
    </row>
    <row r="50" spans="1:6">
      <c r="A50" s="8" t="s">
        <v>149</v>
      </c>
      <c r="B50" s="8" t="s">
        <v>40</v>
      </c>
      <c r="C50" s="8" t="s">
        <v>104</v>
      </c>
      <c r="D50" t="s">
        <v>35</v>
      </c>
      <c r="E50" t="s">
        <v>3</v>
      </c>
    </row>
    <row r="51" spans="1:6">
      <c r="A51" s="8" t="s">
        <v>150</v>
      </c>
      <c r="B51" s="8" t="s">
        <v>62</v>
      </c>
      <c r="C51" s="8" t="s">
        <v>104</v>
      </c>
      <c r="D51" t="s">
        <v>63</v>
      </c>
      <c r="E51" t="s">
        <v>3</v>
      </c>
    </row>
    <row r="52" spans="1:6">
      <c r="A52" s="8" t="s">
        <v>151</v>
      </c>
      <c r="B52" s="8" t="s">
        <v>23</v>
      </c>
      <c r="C52" s="8" t="s">
        <v>104</v>
      </c>
      <c r="D52" t="s">
        <v>24</v>
      </c>
      <c r="E52" t="s">
        <v>3</v>
      </c>
    </row>
    <row r="53" spans="1:6">
      <c r="A53" s="18"/>
      <c r="B53" s="18" t="s">
        <v>165</v>
      </c>
      <c r="C53" s="18"/>
      <c r="D53" s="16"/>
      <c r="E53" s="16"/>
      <c r="F53" s="16"/>
    </row>
    <row r="54" spans="1:6">
      <c r="A54" s="8" t="s">
        <v>152</v>
      </c>
      <c r="B54" s="8" t="s">
        <v>36</v>
      </c>
      <c r="C54" s="8" t="s">
        <v>105</v>
      </c>
      <c r="D54" t="s">
        <v>37</v>
      </c>
      <c r="E54" t="s">
        <v>3</v>
      </c>
    </row>
    <row r="55" spans="1:6">
      <c r="A55" s="8" t="s">
        <v>154</v>
      </c>
      <c r="B55" s="8" t="s">
        <v>42</v>
      </c>
      <c r="C55" s="8" t="s">
        <v>105</v>
      </c>
      <c r="D55" t="s">
        <v>43</v>
      </c>
      <c r="E55" t="s">
        <v>3</v>
      </c>
    </row>
    <row r="56" spans="1:6">
      <c r="A56" s="8" t="s">
        <v>155</v>
      </c>
      <c r="B56" s="8" t="s">
        <v>60</v>
      </c>
      <c r="C56" s="8" t="s">
        <v>105</v>
      </c>
      <c r="D56" t="s">
        <v>43</v>
      </c>
      <c r="E56" t="s">
        <v>3</v>
      </c>
    </row>
    <row r="57" spans="1:6">
      <c r="A57" s="8" t="s">
        <v>156</v>
      </c>
      <c r="B57" s="8" t="s">
        <v>77</v>
      </c>
      <c r="C57" s="8" t="s">
        <v>105</v>
      </c>
      <c r="D57" t="s">
        <v>78</v>
      </c>
      <c r="E57" s="1" t="s">
        <v>3</v>
      </c>
      <c r="F57" s="1"/>
    </row>
    <row r="58" spans="1:6">
      <c r="A58" s="8" t="s">
        <v>157</v>
      </c>
      <c r="B58" s="8" t="s">
        <v>75</v>
      </c>
      <c r="C58" s="8" t="s">
        <v>105</v>
      </c>
      <c r="D58" t="s">
        <v>76</v>
      </c>
      <c r="E58" t="s">
        <v>3</v>
      </c>
    </row>
    <row r="59" spans="1:6">
      <c r="A59" s="8" t="s">
        <v>158</v>
      </c>
      <c r="B59" s="9" t="s">
        <v>19</v>
      </c>
      <c r="C59" s="9" t="s">
        <v>105</v>
      </c>
      <c r="D59" s="1" t="s">
        <v>20</v>
      </c>
      <c r="E59" s="1"/>
      <c r="F59" s="1" t="s">
        <v>0</v>
      </c>
    </row>
    <row r="60" spans="1:6">
      <c r="A60" s="8" t="s">
        <v>159</v>
      </c>
      <c r="B60" s="9" t="s">
        <v>41</v>
      </c>
      <c r="C60" s="9" t="s">
        <v>105</v>
      </c>
      <c r="D60" s="1" t="s">
        <v>20</v>
      </c>
      <c r="E60" s="1"/>
      <c r="F60" s="1" t="s">
        <v>0</v>
      </c>
    </row>
    <row r="61" spans="1:6">
      <c r="A61" s="8" t="s">
        <v>160</v>
      </c>
      <c r="B61" s="8" t="s">
        <v>64</v>
      </c>
      <c r="C61" s="8" t="s">
        <v>105</v>
      </c>
      <c r="D61" t="s">
        <v>20</v>
      </c>
      <c r="E61" t="s">
        <v>3</v>
      </c>
    </row>
  </sheetData>
  <mergeCells count="3">
    <mergeCell ref="B3:B5"/>
    <mergeCell ref="C3:C5"/>
    <mergeCell ref="D3:D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JULY-Webmonitor</vt:lpstr>
      <vt:lpstr>AWS_LIGHTINING</vt:lpstr>
      <vt:lpstr>AWS_LSI_METEO</vt:lpstr>
      <vt:lpstr>AWS_NAEB</vt:lpstr>
      <vt:lpstr>JULY_ARG</vt:lpstr>
      <vt:lpstr>01_AUGUST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2020-01-28T08:21:00Z</dcterms:created>
  <dcterms:modified xsi:type="dcterms:W3CDTF">2025-08-04T10:27:23Z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1033-12.2.0.20326</vt:lpwstr>
  </property>
  <property fmtid="{D5CDD505-2E9C-101B-9397-08002B2CF9AE}" pid="3" name="ICV">
    <vt:lpwstr>1142D7375C2F4BC6B0BA43EB40BED5A4</vt:lpwstr>
  </property>
</Properties>
</file>