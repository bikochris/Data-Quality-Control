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ADocuments\web\Reporting status\October\"/>
    </mc:Choice>
  </mc:AlternateContent>
  <bookViews>
    <workbookView xWindow="-110" yWindow="-110" windowWidth="19310" windowHeight="9610" activeTab="2"/>
  </bookViews>
  <sheets>
    <sheet name="TOTAL STATION" sheetId="17" r:id="rId1"/>
    <sheet name="WEBMONITOR_METEO" sheetId="12" r:id="rId2"/>
    <sheet name="AWS_LIGHTINING" sheetId="10" r:id="rId3"/>
    <sheet name="AWS_SOFF" sheetId="16" r:id="rId4"/>
    <sheet name="AWS_LSI_X&amp;EVOL_METEO" sheetId="8" r:id="rId5"/>
    <sheet name="ARG" sheetId="7" r:id="rId6"/>
    <sheet name="AWS_LSA_ElOG_METEO" sheetId="13" r:id="rId7"/>
  </sheets>
  <definedNames>
    <definedName name="_xlnm._FilterDatabase" localSheetId="5" hidden="1">ARG!$F$1:$F$74</definedName>
    <definedName name="_xlnm._FilterDatabase" localSheetId="2" hidden="1">AWS_LIGHTINING!$F$1:$F$12</definedName>
    <definedName name="_xlnm._FilterDatabase" localSheetId="4" hidden="1">'AWS_LSI_X&amp;EVOL_METEO'!$F$2:$F$21</definedName>
  </definedNames>
  <calcPr calcId="162913"/>
</workbook>
</file>

<file path=xl/calcChain.xml><?xml version="1.0" encoding="utf-8"?>
<calcChain xmlns="http://schemas.openxmlformats.org/spreadsheetml/2006/main">
  <c r="F55" i="12" l="1"/>
  <c r="F54" i="12"/>
  <c r="B10" i="17" l="1"/>
  <c r="C10" i="17"/>
  <c r="D10" i="17" s="1"/>
  <c r="D5" i="17"/>
  <c r="D6" i="17"/>
  <c r="D7" i="17"/>
  <c r="D8" i="17"/>
  <c r="D9" i="17"/>
  <c r="D4" i="17"/>
  <c r="F73" i="7" l="1"/>
  <c r="F74" i="7" s="1"/>
  <c r="G10" i="8"/>
  <c r="G11" i="8" s="1"/>
  <c r="F10" i="8"/>
  <c r="F11" i="8" s="1"/>
  <c r="F11" i="10" l="1"/>
  <c r="F12" i="10" s="1"/>
</calcChain>
</file>

<file path=xl/sharedStrings.xml><?xml version="1.0" encoding="utf-8"?>
<sst xmlns="http://schemas.openxmlformats.org/spreadsheetml/2006/main" count="622" uniqueCount="276">
  <si>
    <t>NO</t>
  </si>
  <si>
    <t>GITEGA</t>
  </si>
  <si>
    <t>Nyarugenge</t>
  </si>
  <si>
    <t>YES</t>
  </si>
  <si>
    <t>Rwamagana</t>
  </si>
  <si>
    <t>Gatsibo</t>
  </si>
  <si>
    <t>DISTRICT</t>
  </si>
  <si>
    <t>AKAGERA NYUNGWE</t>
  </si>
  <si>
    <t>AKAGERA RWISIRABO</t>
  </si>
  <si>
    <t>Bakokwe</t>
  </si>
  <si>
    <t>Bungwe</t>
  </si>
  <si>
    <t>Butare</t>
  </si>
  <si>
    <t>Huye</t>
  </si>
  <si>
    <t>Bweyeye</t>
  </si>
  <si>
    <t>Bwisige</t>
  </si>
  <si>
    <t>Byimana</t>
  </si>
  <si>
    <t>Ruhango</t>
  </si>
  <si>
    <t>Cyeru</t>
  </si>
  <si>
    <t>Gabiro</t>
  </si>
  <si>
    <t>Gacurabwenge</t>
  </si>
  <si>
    <t>Kicukiro</t>
  </si>
  <si>
    <t>Gihinga</t>
  </si>
  <si>
    <t>GIKOMERO</t>
  </si>
  <si>
    <t>Gikongoro</t>
  </si>
  <si>
    <t>Gishyita</t>
  </si>
  <si>
    <t>Kabarore</t>
  </si>
  <si>
    <t>Kaduha</t>
  </si>
  <si>
    <t>Kamembe</t>
  </si>
  <si>
    <t>Kavumu</t>
  </si>
  <si>
    <t>Kawangire</t>
  </si>
  <si>
    <t>Ngoma</t>
  </si>
  <si>
    <t>Kenjobe</t>
  </si>
  <si>
    <t>Kirehe</t>
  </si>
  <si>
    <t>Mahama</t>
  </si>
  <si>
    <t>Mamba</t>
  </si>
  <si>
    <t xml:space="preserve">Gisagara
</t>
  </si>
  <si>
    <t>MATIMBA</t>
  </si>
  <si>
    <t>Mayange</t>
  </si>
  <si>
    <t>Mukarange</t>
  </si>
  <si>
    <t>Nasho_Mpanga</t>
  </si>
  <si>
    <t>Ndego</t>
  </si>
  <si>
    <t>Ngororero</t>
  </si>
  <si>
    <t>Ntaruka</t>
  </si>
  <si>
    <t>Nyabimata</t>
  </si>
  <si>
    <t>NYABITIMBO</t>
  </si>
  <si>
    <t>Nyagatare</t>
  </si>
  <si>
    <t>Nyirangarama</t>
  </si>
  <si>
    <t>Rulindo</t>
  </si>
  <si>
    <t>Rubona</t>
  </si>
  <si>
    <t>Rusasa</t>
  </si>
  <si>
    <t xml:space="preserve">Gakenke
</t>
  </si>
  <si>
    <t>RUSUMO POWER PLANT</t>
  </si>
  <si>
    <t>Rweru</t>
  </si>
  <si>
    <t>Tamira</t>
  </si>
  <si>
    <t>Wisumo</t>
  </si>
  <si>
    <t>Zaza</t>
  </si>
  <si>
    <t>Cyanika Border Market</t>
  </si>
  <si>
    <t>Cyumba</t>
  </si>
  <si>
    <t>PROVINCE</t>
  </si>
  <si>
    <t>SOUTH</t>
  </si>
  <si>
    <t>WEST</t>
  </si>
  <si>
    <t>NORTH</t>
  </si>
  <si>
    <t>EAST</t>
  </si>
  <si>
    <t>KIGALI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</si>
  <si>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</si>
  <si>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</si>
  <si>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</si>
  <si>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</si>
  <si>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</si>
  <si>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</si>
  <si>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</si>
  <si>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</si>
  <si>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</si>
  <si>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</si>
  <si>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</si>
  <si>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</si>
  <si>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</si>
  <si>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</si>
  <si>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</si>
  <si>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</si>
  <si>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</si>
  <si>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</si>
  <si>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</si>
  <si>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</si>
  <si>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</si>
  <si>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</si>
  <si>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</si>
  <si>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</si>
  <si>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</si>
  <si>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</si>
  <si>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</si>
  <si>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</si>
  <si>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</si>
  <si>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</si>
  <si>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</si>
  <si>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</si>
  <si>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</si>
  <si>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</si>
  <si>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</si>
  <si>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</si>
  <si>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</si>
  <si>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</si>
  <si>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</si>
  <si>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</si>
  <si>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</si>
  <si>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</si>
  <si>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</si>
  <si>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REPORTING</t>
  </si>
  <si>
    <t>District</t>
  </si>
  <si>
    <t>Shangi Parish</t>
  </si>
  <si>
    <t>Nyamasheke</t>
  </si>
  <si>
    <t>Busasamana</t>
  </si>
  <si>
    <t>Rubavu</t>
  </si>
  <si>
    <t>Gisagara (District)</t>
  </si>
  <si>
    <t>Gisagara</t>
  </si>
  <si>
    <t>Rwimbogo</t>
  </si>
  <si>
    <t>Kinihira</t>
  </si>
  <si>
    <t>Kanzenze</t>
  </si>
  <si>
    <t>Cyinzuzi</t>
  </si>
  <si>
    <t>Bwishyura</t>
  </si>
  <si>
    <t>Karongi</t>
  </si>
  <si>
    <t>Rukozo</t>
  </si>
  <si>
    <t>Tumba</t>
  </si>
  <si>
    <t>Nzige</t>
  </si>
  <si>
    <t>Gahanga</t>
  </si>
  <si>
    <t>Mukindo</t>
  </si>
  <si>
    <t>Mushubati</t>
  </si>
  <si>
    <t>Rutsiro</t>
  </si>
  <si>
    <t>Ntyazo</t>
  </si>
  <si>
    <t>Nyanza</t>
  </si>
  <si>
    <t>Kivumu (Sector)</t>
  </si>
  <si>
    <t>Murundi East</t>
  </si>
  <si>
    <t>Kayonza</t>
  </si>
  <si>
    <t>Kigali Sector</t>
  </si>
  <si>
    <t>Karama / Huye</t>
  </si>
  <si>
    <t>Masaka</t>
  </si>
  <si>
    <t>Rugera</t>
  </si>
  <si>
    <t>Nyabihu</t>
  </si>
  <si>
    <t>Mutenderi</t>
  </si>
  <si>
    <t>Kitabi</t>
  </si>
  <si>
    <t>Nyamagabe</t>
  </si>
  <si>
    <t>Shagasha</t>
  </si>
  <si>
    <t>Rusizi</t>
  </si>
  <si>
    <t>Kiziguro</t>
  </si>
  <si>
    <t>Musha</t>
  </si>
  <si>
    <t>Muyira</t>
  </si>
  <si>
    <t>Kivumu Parish</t>
  </si>
  <si>
    <t>Muhanga</t>
  </si>
  <si>
    <t>Gakenke</t>
  </si>
  <si>
    <t>Cyabingo</t>
  </si>
  <si>
    <t>Rugerero</t>
  </si>
  <si>
    <t>Rwempesha</t>
  </si>
  <si>
    <t>Sake</t>
  </si>
  <si>
    <t>Nyange</t>
  </si>
  <si>
    <t>Musanze</t>
  </si>
  <si>
    <t>Muganza Parish</t>
  </si>
  <si>
    <t>Nyaruguru</t>
  </si>
  <si>
    <t>Rugunga</t>
  </si>
  <si>
    <t>Mwiri</t>
  </si>
  <si>
    <t>Gahara</t>
  </si>
  <si>
    <t>Tare</t>
  </si>
  <si>
    <t>Musaza</t>
  </si>
  <si>
    <t>Nyamugali</t>
  </si>
  <si>
    <t>kirehe</t>
  </si>
  <si>
    <t>Gicumbi</t>
  </si>
  <si>
    <t>Mwendo</t>
  </si>
  <si>
    <t>Jali</t>
  </si>
  <si>
    <t>Gasabo</t>
  </si>
  <si>
    <t>Ruhango Sector</t>
  </si>
  <si>
    <t>Cyahinda</t>
  </si>
  <si>
    <t>Nkanka</t>
  </si>
  <si>
    <t>Kibeho</t>
  </si>
  <si>
    <t>Rubirizi</t>
  </si>
  <si>
    <t>Save</t>
  </si>
  <si>
    <t>Ngera</t>
  </si>
  <si>
    <t>Gakenke District</t>
  </si>
  <si>
    <t>Ruhango South</t>
  </si>
  <si>
    <t>Kabarondo</t>
  </si>
  <si>
    <t>Rusatira</t>
  </si>
  <si>
    <t>Kabaya</t>
  </si>
  <si>
    <t>Cyanzarwe</t>
  </si>
  <si>
    <t>Murundi West</t>
  </si>
  <si>
    <t>Murambi</t>
  </si>
  <si>
    <t>Nyakarenzo</t>
  </si>
  <si>
    <t>Simbi</t>
  </si>
  <si>
    <t>Bweramana</t>
  </si>
  <si>
    <t>Nyarubuye Parish</t>
  </si>
  <si>
    <t>Gahini</t>
  </si>
  <si>
    <t>Kagitumba</t>
  </si>
  <si>
    <t>Kinoni</t>
  </si>
  <si>
    <t>Burera</t>
  </si>
  <si>
    <t>Minazi</t>
  </si>
  <si>
    <t>Rusiga</t>
  </si>
  <si>
    <t>Murama</t>
  </si>
  <si>
    <t>Gasange</t>
  </si>
  <si>
    <t>Province</t>
  </si>
  <si>
    <t>Station Name</t>
  </si>
  <si>
    <t>REPORTING STATUS</t>
  </si>
  <si>
    <t>LAST COMM</t>
  </si>
  <si>
    <t xml:space="preserve">Kamonyi </t>
  </si>
  <si>
    <t xml:space="preserve">Karongi </t>
  </si>
  <si>
    <t>Bugesera</t>
  </si>
  <si>
    <t>No data</t>
  </si>
  <si>
    <t>BYUMBA</t>
  </si>
  <si>
    <t>GICUMBI</t>
  </si>
  <si>
    <t>RUHENGERI</t>
  </si>
  <si>
    <t>MUSANZE</t>
  </si>
  <si>
    <t>R.PERCENTAGE</t>
  </si>
  <si>
    <t>KIGALI_Airport</t>
  </si>
  <si>
    <t>Rushashi</t>
  </si>
  <si>
    <t>Muganza</t>
  </si>
  <si>
    <t>kinigi</t>
  </si>
  <si>
    <t>KICUKIRO</t>
  </si>
  <si>
    <t>AUGUST</t>
  </si>
  <si>
    <t>END OF AUGUST</t>
  </si>
  <si>
    <t>No.</t>
  </si>
  <si>
    <t>STATION NAME</t>
  </si>
  <si>
    <t>Kazo</t>
  </si>
  <si>
    <t>Rubengera</t>
  </si>
  <si>
    <t>Station Type</t>
  </si>
  <si>
    <t>Number</t>
  </si>
  <si>
    <t>Server</t>
  </si>
  <si>
    <t xml:space="preserve">Repository folder </t>
  </si>
  <si>
    <t>AWS Web monitor</t>
  </si>
  <si>
    <t>Web Monitor</t>
  </si>
  <si>
    <t>C:\NESA\files\Climat File</t>
  </si>
  <si>
    <t>AWS_SOFF</t>
  </si>
  <si>
    <t>C:\Campbellsci\LoggerNet</t>
  </si>
  <si>
    <t>AWS_Lightening</t>
  </si>
  <si>
    <t>C:\NESA\files</t>
  </si>
  <si>
    <t>ARG</t>
  </si>
  <si>
    <t>LSA</t>
  </si>
  <si>
    <t>C:\DATA</t>
  </si>
  <si>
    <t>C:\DATA\XLOG</t>
  </si>
  <si>
    <t>ATS</t>
  </si>
  <si>
    <t>AWS-LSI_X&amp;Evolution METEO</t>
  </si>
  <si>
    <t>AWS-ELOG_METEO</t>
  </si>
  <si>
    <t>TOTAL</t>
  </si>
  <si>
    <t>1. MAINTAINED BY METEO RWANDA</t>
  </si>
  <si>
    <t>Bugarama</t>
  </si>
  <si>
    <t>Nyamsheke</t>
  </si>
  <si>
    <t>Nyamabuye</t>
  </si>
  <si>
    <t>Bugarura</t>
  </si>
  <si>
    <t>REPORTED</t>
  </si>
  <si>
    <t>PERCENT</t>
  </si>
  <si>
    <t>SEPTEMBER</t>
  </si>
  <si>
    <t>Nzaratsi</t>
  </si>
  <si>
    <t>44</t>
  </si>
  <si>
    <t>45</t>
  </si>
  <si>
    <t>OCTOBER</t>
  </si>
  <si>
    <t>8/25/2025 9:20:00 AM</t>
  </si>
  <si>
    <t>11/20/2025 7:10:00 AM</t>
  </si>
  <si>
    <t>11/20/2025 7:20:00 AM</t>
  </si>
  <si>
    <t>11/20/2025 9:20:00 AM</t>
  </si>
  <si>
    <t>Gisenyi</t>
  </si>
  <si>
    <t>11/13/2025 8:00:00 AM</t>
  </si>
  <si>
    <t>11/20/2025 9:00:00 AM</t>
  </si>
  <si>
    <t>Muhungwe</t>
  </si>
  <si>
    <t>11/20/2025 11:10:00 AM</t>
  </si>
  <si>
    <t>Nyabirasi</t>
  </si>
  <si>
    <t>7/27/2025 10:30:00 AM</t>
  </si>
  <si>
    <t>11/20/2025 10:20:00 AM</t>
  </si>
  <si>
    <t>11/20/2025 11:20:00 AM</t>
  </si>
  <si>
    <t>7/27/2025 5:00:00 PM</t>
  </si>
  <si>
    <t>46</t>
  </si>
  <si>
    <t>47</t>
  </si>
  <si>
    <t>48</t>
  </si>
  <si>
    <t>NON-REPORTING</t>
  </si>
  <si>
    <t xml:space="preserve"> Kayenzi/18060305</t>
  </si>
  <si>
    <t>Busasamana/18060314</t>
  </si>
  <si>
    <t>Munini/18050031</t>
  </si>
  <si>
    <t xml:space="preserve">Rwankuba/18060297 </t>
  </si>
  <si>
    <t>Muhororo/18060299</t>
  </si>
  <si>
    <t>Kanjongo/</t>
  </si>
  <si>
    <t xml:space="preserve"> Muringa/18060280</t>
  </si>
  <si>
    <t>Ruhuha/18050026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</si>
</sst>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F800]dddd\,\ mmmm\ dd\,\ yyyy"/>
  </numFmts>
  <fonts count="11">
    <font>
      <sz val="10"/>
      <color theme="1"/>
      <name val="微软雅黑"/>
      <charset val="134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微软雅黑"/>
      <charset val="134"/>
    </font>
    <font>
      <sz val="12"/>
      <color theme="1"/>
      <name val="Times New Roman"/>
      <family val="1"/>
    </font>
    <font>
      <sz val="10"/>
      <name val="微软雅黑"/>
      <charset val="134"/>
    </font>
    <font>
      <sz val="6"/>
      <color rgb="FF8B0000"/>
      <name val="Segoe UI"/>
      <family val="2"/>
    </font>
    <font>
      <sz val="6"/>
      <color rgb="FF212529"/>
      <name val="Segoe UI"/>
      <family val="2"/>
    </font>
    <font>
      <sz val="6"/>
      <color rgb="FF0064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98FB9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/>
      <diagonal/>
    </border>
  </borders>
  <cellStyleXfs count="3">
    <xf numFmtId="0" fontId="0" fillId="0" borderId="0">
      <alignment vertical="center"/>
    </xf>
    <xf numFmtId="0" fontId="1" fillId="0" borderId="0"/>
    <xf numFmtId="0" fontId="1" fillId="3" borderId="7" applyNumberFormat="0" applyFont="0" applyAlignment="0" applyProtection="0"/>
  </cellStyleXfs>
  <cellXfs count="52">
    <xf numFmtId="0" fontId="0" fillId="0" borderId="0" xfId="0">
      <alignment vertical="center"/>
    </xf>
    <xf numFmtId="16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0" fontId="4" fillId="0" borderId="1" xfId="0" applyFont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vertical="top"/>
    </xf>
    <xf numFmtId="16" fontId="4" fillId="0" borderId="1" xfId="0" applyNumberFormat="1" applyFont="1" applyBorder="1" applyAlignment="1">
      <alignment horizontal="left"/>
    </xf>
    <xf numFmtId="16" fontId="4" fillId="0" borderId="1" xfId="0" applyNumberFormat="1" applyFont="1" applyFill="1" applyBorder="1" applyAlignment="1">
      <alignment horizontal="left"/>
    </xf>
    <xf numFmtId="16" fontId="0" fillId="0" borderId="0" xfId="0" applyNumberFormat="1">
      <alignment vertical="center"/>
    </xf>
    <xf numFmtId="14" fontId="0" fillId="0" borderId="0" xfId="0" applyNumberFormat="1">
      <alignment vertical="center"/>
    </xf>
    <xf numFmtId="165" fontId="0" fillId="0" borderId="0" xfId="0" applyNumberFormat="1">
      <alignment vertical="center"/>
    </xf>
    <xf numFmtId="14" fontId="4" fillId="0" borderId="1" xfId="0" applyNumberFormat="1" applyFont="1" applyBorder="1" applyAlignment="1">
      <alignment horizontal="left"/>
    </xf>
    <xf numFmtId="0" fontId="0" fillId="0" borderId="0" xfId="0" applyAlignment="1"/>
    <xf numFmtId="0" fontId="5" fillId="0" borderId="0" xfId="0" applyFont="1">
      <alignment vertical="center"/>
    </xf>
    <xf numFmtId="0" fontId="1" fillId="0" borderId="0" xfId="1"/>
    <xf numFmtId="0" fontId="6" fillId="0" borderId="1" xfId="0" applyFont="1" applyBorder="1" applyAlignment="1">
      <alignment horizontal="justify" vertical="center" wrapText="1"/>
    </xf>
    <xf numFmtId="0" fontId="2" fillId="0" borderId="1" xfId="0" applyFont="1" applyBorder="1" applyAlignment="1">
      <alignment horizontal="justify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164" fontId="6" fillId="0" borderId="1" xfId="0" applyNumberFormat="1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2" fillId="0" borderId="8" xfId="0" applyFont="1" applyBorder="1" applyAlignment="1">
      <alignment horizontal="justify" vertical="center" wrapText="1"/>
    </xf>
    <xf numFmtId="0" fontId="2" fillId="0" borderId="9" xfId="0" applyFont="1" applyBorder="1" applyAlignment="1">
      <alignment horizontal="justify" vertical="center" wrapText="1"/>
    </xf>
    <xf numFmtId="164" fontId="2" fillId="0" borderId="1" xfId="0" applyNumberFormat="1" applyFont="1" applyBorder="1" applyAlignment="1">
      <alignment horizontal="justify" vertical="center" wrapText="1"/>
    </xf>
    <xf numFmtId="0" fontId="0" fillId="4" borderId="1" xfId="0" applyFill="1" applyBorder="1">
      <alignment vertical="center"/>
    </xf>
    <xf numFmtId="0" fontId="8" fillId="6" borderId="10" xfId="0" applyFont="1" applyFill="1" applyBorder="1" applyAlignment="1">
      <alignment vertical="top" wrapText="1"/>
    </xf>
    <xf numFmtId="0" fontId="9" fillId="5" borderId="10" xfId="0" applyFont="1" applyFill="1" applyBorder="1" applyAlignment="1">
      <alignment vertical="top" wrapText="1"/>
    </xf>
    <xf numFmtId="0" fontId="8" fillId="2" borderId="10" xfId="0" applyFont="1" applyFill="1" applyBorder="1" applyAlignment="1">
      <alignment vertical="top" wrapText="1"/>
    </xf>
    <xf numFmtId="0" fontId="10" fillId="7" borderId="10" xfId="0" applyFont="1" applyFill="1" applyBorder="1" applyAlignment="1">
      <alignment vertical="top" wrapText="1"/>
    </xf>
    <xf numFmtId="1" fontId="0" fillId="0" borderId="0" xfId="0" applyNumberFormat="1">
      <alignment vertical="center"/>
    </xf>
    <xf numFmtId="14" fontId="8" fillId="6" borderId="10" xfId="0" applyNumberFormat="1" applyFont="1" applyFill="1" applyBorder="1" applyAlignment="1">
      <alignment vertical="top" wrapText="1"/>
    </xf>
    <xf numFmtId="14" fontId="8" fillId="2" borderId="10" xfId="0" applyNumberFormat="1" applyFont="1" applyFill="1" applyBorder="1" applyAlignment="1">
      <alignment vertical="top" wrapText="1"/>
    </xf>
    <xf numFmtId="14" fontId="10" fillId="7" borderId="10" xfId="0" applyNumberFormat="1" applyFont="1" applyFill="1" applyBorder="1" applyAlignment="1">
      <alignment vertical="top" wrapText="1"/>
    </xf>
    <xf numFmtId="14" fontId="8" fillId="6" borderId="10" xfId="0" applyNumberFormat="1" applyFont="1" applyFill="1" applyBorder="1" applyAlignment="1">
      <alignment horizontal="left" vertical="top" wrapText="1"/>
    </xf>
    <xf numFmtId="0" fontId="2" fillId="0" borderId="1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</cellXfs>
  <cellStyles count="3">
    <cellStyle name="Normal" xfId="0" builtinId="0"/>
    <cellStyle name="Normal 2" xfId="1"/>
    <cellStyle name="Note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"/>
  <sheetViews>
    <sheetView workbookViewId="0">
      <selection activeCell="B4" sqref="B4:B9"/>
    </sheetView>
  </sheetViews>
  <sheetFormatPr defaultRowHeight="14.5"/>
  <cols>
    <col min="1" max="1" width="29.6640625" customWidth="1"/>
    <col min="2" max="4" width="14.5" customWidth="1"/>
    <col min="5" max="5" width="14.6640625" customWidth="1"/>
    <col min="6" max="6" width="24.5" customWidth="1"/>
  </cols>
  <sheetData>
    <row r="1" spans="1:6" ht="15">
      <c r="A1" s="20" t="s">
        <v>219</v>
      </c>
      <c r="B1" s="20" t="s">
        <v>220</v>
      </c>
      <c r="C1" s="20" t="s">
        <v>243</v>
      </c>
      <c r="D1" s="20" t="s">
        <v>244</v>
      </c>
      <c r="E1" s="20" t="s">
        <v>221</v>
      </c>
      <c r="F1" s="20" t="s">
        <v>222</v>
      </c>
    </row>
    <row r="2" spans="1:6" ht="15">
      <c r="A2" s="40" t="s">
        <v>238</v>
      </c>
      <c r="B2" s="40"/>
      <c r="C2" s="40"/>
      <c r="D2" s="40"/>
      <c r="E2" s="40"/>
      <c r="F2" s="40"/>
    </row>
    <row r="3" spans="1:6" ht="15">
      <c r="A3" s="24"/>
      <c r="B3" s="24"/>
      <c r="C3" s="24"/>
      <c r="D3" s="24"/>
      <c r="E3" s="24"/>
      <c r="F3" s="24"/>
    </row>
    <row r="4" spans="1:6" ht="15.5">
      <c r="A4" s="19" t="s">
        <v>223</v>
      </c>
      <c r="B4" s="19">
        <v>48</v>
      </c>
      <c r="C4" s="19">
        <v>46</v>
      </c>
      <c r="D4" s="25">
        <f>C4/B4</f>
        <v>0.95833333333333337</v>
      </c>
      <c r="E4" s="19" t="s">
        <v>234</v>
      </c>
      <c r="F4" s="19" t="s">
        <v>225</v>
      </c>
    </row>
    <row r="5" spans="1:6" ht="15.5">
      <c r="A5" s="19" t="s">
        <v>226</v>
      </c>
      <c r="B5" s="19">
        <v>3</v>
      </c>
      <c r="C5" s="19">
        <v>3</v>
      </c>
      <c r="D5" s="25">
        <f t="shared" ref="D5:D10" si="0">C5/B5</f>
        <v>1</v>
      </c>
      <c r="E5" s="19" t="s">
        <v>234</v>
      </c>
      <c r="F5" s="19" t="s">
        <v>227</v>
      </c>
    </row>
    <row r="6" spans="1:6" ht="15.5">
      <c r="A6" s="19" t="s">
        <v>228</v>
      </c>
      <c r="B6" s="19">
        <v>8</v>
      </c>
      <c r="C6" s="19">
        <v>4</v>
      </c>
      <c r="D6" s="25">
        <f t="shared" si="0"/>
        <v>0.5</v>
      </c>
      <c r="E6" s="19" t="s">
        <v>224</v>
      </c>
      <c r="F6" s="19" t="s">
        <v>229</v>
      </c>
    </row>
    <row r="7" spans="1:6" ht="15.5">
      <c r="A7" s="19" t="s">
        <v>230</v>
      </c>
      <c r="B7" s="19">
        <v>70</v>
      </c>
      <c r="C7" s="19">
        <v>51</v>
      </c>
      <c r="D7" s="25">
        <f t="shared" si="0"/>
        <v>0.72857142857142854</v>
      </c>
      <c r="E7" s="19" t="s">
        <v>231</v>
      </c>
      <c r="F7" s="19" t="s">
        <v>232</v>
      </c>
    </row>
    <row r="8" spans="1:6" ht="15.5">
      <c r="A8" s="19" t="s">
        <v>235</v>
      </c>
      <c r="B8" s="19">
        <v>6</v>
      </c>
      <c r="C8" s="19">
        <v>3</v>
      </c>
      <c r="D8" s="25">
        <f t="shared" si="0"/>
        <v>0.5</v>
      </c>
      <c r="E8" s="19" t="s">
        <v>231</v>
      </c>
      <c r="F8" s="19" t="s">
        <v>233</v>
      </c>
    </row>
    <row r="9" spans="1:6" ht="15.5">
      <c r="A9" s="19" t="s">
        <v>236</v>
      </c>
      <c r="B9" s="19">
        <v>3</v>
      </c>
      <c r="C9" s="19">
        <v>2</v>
      </c>
      <c r="D9" s="25">
        <f t="shared" si="0"/>
        <v>0.66666666666666663</v>
      </c>
      <c r="E9" s="19" t="s">
        <v>231</v>
      </c>
      <c r="F9" s="19" t="s">
        <v>232</v>
      </c>
    </row>
    <row r="10" spans="1:6" ht="15.5">
      <c r="A10" s="27" t="s">
        <v>237</v>
      </c>
      <c r="B10" s="28">
        <f>SUM(B4:B9)</f>
        <v>138</v>
      </c>
      <c r="C10" s="28">
        <f>SUM(C4:C9)</f>
        <v>109</v>
      </c>
      <c r="D10" s="29">
        <f t="shared" si="0"/>
        <v>0.78985507246376807</v>
      </c>
      <c r="E10" s="26"/>
      <c r="F10" s="26"/>
    </row>
  </sheetData>
  <mergeCells count="1">
    <mergeCell ref="A2:F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4:F61"/>
  <sheetViews>
    <sheetView workbookViewId="0">
      <pane xSplit="1" ySplit="5" topLeftCell="B6" activePane="bottomRight" state="frozenSplit"/>
      <selection pane="topRight" activeCell="E1" sqref="E1"/>
      <selection pane="bottomLeft" activeCell="A6" sqref="A6"/>
      <selection pane="bottomRight" activeCell="G27" sqref="G27"/>
    </sheetView>
  </sheetViews>
  <sheetFormatPr defaultRowHeight="14.5"/>
  <cols>
    <col min="2" max="2" width="8.6640625" style="35"/>
    <col min="3" max="3" width="19.83203125" customWidth="1"/>
    <col min="4" max="4" width="12.58203125" style="13" customWidth="1"/>
  </cols>
  <sheetData>
    <row r="4" spans="1:5">
      <c r="A4" s="43"/>
      <c r="B4" s="43"/>
    </row>
    <row r="5" spans="1:5" ht="15" thickBot="1">
      <c r="E5" s="30" t="s">
        <v>249</v>
      </c>
    </row>
    <row r="6" spans="1:5" ht="15" thickBot="1">
      <c r="B6" s="23" t="s">
        <v>64</v>
      </c>
      <c r="C6" s="31" t="s">
        <v>19</v>
      </c>
      <c r="D6" s="36" t="s">
        <v>250</v>
      </c>
      <c r="E6" s="32" t="s">
        <v>3</v>
      </c>
    </row>
    <row r="7" spans="1:5" ht="15" thickBot="1">
      <c r="B7" s="23" t="s">
        <v>65</v>
      </c>
      <c r="C7" s="31" t="s">
        <v>4</v>
      </c>
      <c r="D7" s="36" t="s">
        <v>251</v>
      </c>
      <c r="E7" s="32" t="s">
        <v>3</v>
      </c>
    </row>
    <row r="8" spans="1:5" ht="15" thickBot="1">
      <c r="B8" s="23" t="s">
        <v>66</v>
      </c>
      <c r="C8" s="31" t="s">
        <v>11</v>
      </c>
      <c r="D8" s="39">
        <v>45788.5625</v>
      </c>
      <c r="E8" s="32" t="s">
        <v>3</v>
      </c>
    </row>
    <row r="9" spans="1:5" ht="15" thickBot="1">
      <c r="B9" s="23" t="s">
        <v>67</v>
      </c>
      <c r="C9" s="31" t="s">
        <v>15</v>
      </c>
      <c r="D9" s="36" t="s">
        <v>252</v>
      </c>
      <c r="E9" s="32" t="s">
        <v>3</v>
      </c>
    </row>
    <row r="10" spans="1:5" ht="15" thickBot="1">
      <c r="B10" s="23" t="s">
        <v>68</v>
      </c>
      <c r="C10" s="31" t="s">
        <v>23</v>
      </c>
      <c r="D10" s="36" t="s">
        <v>253</v>
      </c>
      <c r="E10" s="32" t="s">
        <v>3</v>
      </c>
    </row>
    <row r="11" spans="1:5" ht="15" thickBot="1">
      <c r="B11" s="23" t="s">
        <v>69</v>
      </c>
      <c r="C11" s="31" t="s">
        <v>27</v>
      </c>
      <c r="D11" s="36" t="s">
        <v>253</v>
      </c>
      <c r="E11" s="32" t="s">
        <v>3</v>
      </c>
    </row>
    <row r="12" spans="1:5" ht="15" thickBot="1">
      <c r="B12" s="23" t="s">
        <v>70</v>
      </c>
      <c r="C12" s="31" t="s">
        <v>254</v>
      </c>
      <c r="D12" s="36" t="s">
        <v>255</v>
      </c>
      <c r="E12" s="32" t="s">
        <v>3</v>
      </c>
    </row>
    <row r="13" spans="1:5" ht="15" thickBot="1">
      <c r="B13" s="23" t="s">
        <v>71</v>
      </c>
      <c r="C13" s="31" t="s">
        <v>48</v>
      </c>
      <c r="D13" s="36" t="s">
        <v>256</v>
      </c>
      <c r="E13" s="32" t="s">
        <v>3</v>
      </c>
    </row>
    <row r="14" spans="1:5" ht="15" thickBot="1">
      <c r="B14" s="23" t="s">
        <v>72</v>
      </c>
      <c r="C14" s="33" t="s">
        <v>257</v>
      </c>
      <c r="D14" s="37" t="s">
        <v>258</v>
      </c>
      <c r="E14" s="32" t="s">
        <v>3</v>
      </c>
    </row>
    <row r="15" spans="1:5" ht="15" thickBot="1">
      <c r="B15" s="23" t="s">
        <v>73</v>
      </c>
      <c r="C15" s="31" t="s">
        <v>259</v>
      </c>
      <c r="D15" s="36" t="s">
        <v>252</v>
      </c>
      <c r="E15" s="32" t="s">
        <v>3</v>
      </c>
    </row>
    <row r="16" spans="1:5" ht="15" thickBot="1">
      <c r="B16" s="23" t="s">
        <v>74</v>
      </c>
      <c r="C16" s="33" t="s">
        <v>246</v>
      </c>
      <c r="D16" s="37" t="s">
        <v>258</v>
      </c>
      <c r="E16" s="32" t="s">
        <v>3</v>
      </c>
    </row>
    <row r="17" spans="2:5" ht="15" thickBot="1">
      <c r="B17" s="23" t="s">
        <v>75</v>
      </c>
      <c r="C17" s="31" t="s">
        <v>55</v>
      </c>
      <c r="D17" s="36" t="s">
        <v>253</v>
      </c>
      <c r="E17" s="32" t="s">
        <v>3</v>
      </c>
    </row>
    <row r="18" spans="2:5" ht="15" thickBot="1">
      <c r="B18" s="23" t="s">
        <v>76</v>
      </c>
      <c r="C18" s="31" t="s">
        <v>29</v>
      </c>
      <c r="D18" s="36" t="s">
        <v>253</v>
      </c>
      <c r="E18" s="32" t="s">
        <v>3</v>
      </c>
    </row>
    <row r="19" spans="2:5" ht="15" thickBot="1">
      <c r="B19" s="23" t="s">
        <v>77</v>
      </c>
      <c r="C19" s="31" t="s">
        <v>25</v>
      </c>
      <c r="D19" s="36" t="s">
        <v>260</v>
      </c>
      <c r="E19" s="32" t="s">
        <v>0</v>
      </c>
    </row>
    <row r="20" spans="2:5" ht="15" thickBot="1">
      <c r="B20" s="23" t="s">
        <v>78</v>
      </c>
      <c r="C20" s="33" t="s">
        <v>242</v>
      </c>
      <c r="D20" s="37" t="s">
        <v>258</v>
      </c>
      <c r="E20" s="32" t="s">
        <v>3</v>
      </c>
    </row>
    <row r="21" spans="2:5" ht="15" thickBot="1">
      <c r="B21" s="23" t="s">
        <v>79</v>
      </c>
      <c r="C21" s="31" t="s">
        <v>37</v>
      </c>
      <c r="D21" s="36" t="s">
        <v>261</v>
      </c>
      <c r="E21" s="32" t="s">
        <v>3</v>
      </c>
    </row>
    <row r="22" spans="2:5" ht="15" thickBot="1">
      <c r="B22" s="23" t="s">
        <v>80</v>
      </c>
      <c r="C22" s="33" t="s">
        <v>22</v>
      </c>
      <c r="D22" s="37" t="s">
        <v>258</v>
      </c>
      <c r="E22" s="32" t="s">
        <v>3</v>
      </c>
    </row>
    <row r="23" spans="2:5" ht="15" thickBot="1">
      <c r="B23" s="23" t="s">
        <v>81</v>
      </c>
      <c r="C23" s="34" t="s">
        <v>21</v>
      </c>
      <c r="D23" s="38" t="s">
        <v>262</v>
      </c>
      <c r="E23" s="32" t="s">
        <v>3</v>
      </c>
    </row>
    <row r="24" spans="2:5" ht="15" thickBot="1">
      <c r="B24" s="23" t="s">
        <v>82</v>
      </c>
      <c r="C24" s="34" t="s">
        <v>34</v>
      </c>
      <c r="D24" s="38" t="s">
        <v>262</v>
      </c>
      <c r="E24" s="32" t="s">
        <v>3</v>
      </c>
    </row>
    <row r="25" spans="2:5" ht="15" thickBot="1">
      <c r="B25" s="23" t="s">
        <v>83</v>
      </c>
      <c r="C25" s="34" t="s">
        <v>52</v>
      </c>
      <c r="D25" s="38" t="s">
        <v>262</v>
      </c>
      <c r="E25" s="32" t="s">
        <v>3</v>
      </c>
    </row>
    <row r="26" spans="2:5" ht="15" thickBot="1">
      <c r="B26" s="23" t="s">
        <v>84</v>
      </c>
      <c r="C26" s="34" t="s">
        <v>32</v>
      </c>
      <c r="D26" s="38" t="s">
        <v>262</v>
      </c>
      <c r="E26" s="32" t="s">
        <v>3</v>
      </c>
    </row>
    <row r="27" spans="2:5" ht="15" thickBot="1">
      <c r="B27" s="23" t="s">
        <v>85</v>
      </c>
      <c r="C27" s="34" t="s">
        <v>51</v>
      </c>
      <c r="D27" s="38" t="s">
        <v>262</v>
      </c>
      <c r="E27" s="32" t="s">
        <v>3</v>
      </c>
    </row>
    <row r="28" spans="2:5" ht="15" thickBot="1">
      <c r="B28" s="23" t="s">
        <v>86</v>
      </c>
      <c r="C28" s="34" t="s">
        <v>33</v>
      </c>
      <c r="D28" s="38" t="s">
        <v>262</v>
      </c>
      <c r="E28" s="32" t="s">
        <v>3</v>
      </c>
    </row>
    <row r="29" spans="2:5" ht="15" thickBot="1">
      <c r="B29" s="23" t="s">
        <v>87</v>
      </c>
      <c r="C29" s="31" t="s">
        <v>40</v>
      </c>
      <c r="D29" s="36" t="s">
        <v>261</v>
      </c>
      <c r="E29" s="32" t="s">
        <v>3</v>
      </c>
    </row>
    <row r="30" spans="2:5" ht="15" thickBot="1">
      <c r="B30" s="23" t="s">
        <v>88</v>
      </c>
      <c r="C30" s="34" t="s">
        <v>8</v>
      </c>
      <c r="D30" s="38" t="s">
        <v>262</v>
      </c>
      <c r="E30" s="32" t="s">
        <v>3</v>
      </c>
    </row>
    <row r="31" spans="2:5" ht="15" thickBot="1">
      <c r="B31" s="23" t="s">
        <v>89</v>
      </c>
      <c r="C31" s="34" t="s">
        <v>38</v>
      </c>
      <c r="D31" s="38" t="s">
        <v>262</v>
      </c>
      <c r="E31" s="32" t="s">
        <v>3</v>
      </c>
    </row>
    <row r="32" spans="2:5" ht="15" thickBot="1">
      <c r="B32" s="23" t="s">
        <v>90</v>
      </c>
      <c r="C32" s="34" t="s">
        <v>18</v>
      </c>
      <c r="D32" s="38" t="s">
        <v>262</v>
      </c>
      <c r="E32" s="32" t="s">
        <v>3</v>
      </c>
    </row>
    <row r="33" spans="2:5" ht="15" thickBot="1">
      <c r="B33" s="23" t="s">
        <v>91</v>
      </c>
      <c r="C33" s="31" t="s">
        <v>7</v>
      </c>
      <c r="D33" s="39">
        <v>46002.618055555555</v>
      </c>
      <c r="E33" s="32" t="s">
        <v>3</v>
      </c>
    </row>
    <row r="34" spans="2:5" ht="15" thickBot="1">
      <c r="B34" s="23" t="s">
        <v>92</v>
      </c>
      <c r="C34" s="34" t="s">
        <v>31</v>
      </c>
      <c r="D34" s="38" t="s">
        <v>262</v>
      </c>
      <c r="E34" s="32" t="s">
        <v>3</v>
      </c>
    </row>
    <row r="35" spans="2:5" ht="15" thickBot="1">
      <c r="B35" s="23" t="s">
        <v>93</v>
      </c>
      <c r="C35" s="34" t="s">
        <v>36</v>
      </c>
      <c r="D35" s="38" t="s">
        <v>262</v>
      </c>
      <c r="E35" s="32" t="s">
        <v>3</v>
      </c>
    </row>
    <row r="36" spans="2:5" ht="15" thickBot="1">
      <c r="B36" s="23" t="s">
        <v>94</v>
      </c>
      <c r="C36" s="34" t="s">
        <v>10</v>
      </c>
      <c r="D36" s="38" t="s">
        <v>262</v>
      </c>
      <c r="E36" s="32" t="s">
        <v>3</v>
      </c>
    </row>
    <row r="37" spans="2:5" ht="15" thickBot="1">
      <c r="B37" s="23" t="s">
        <v>95</v>
      </c>
      <c r="C37" s="34" t="s">
        <v>17</v>
      </c>
      <c r="D37" s="38" t="s">
        <v>262</v>
      </c>
      <c r="E37" s="32" t="s">
        <v>3</v>
      </c>
    </row>
    <row r="38" spans="2:5" ht="15" thickBot="1">
      <c r="B38" s="23" t="s">
        <v>96</v>
      </c>
      <c r="C38" s="33" t="s">
        <v>56</v>
      </c>
      <c r="D38" s="37" t="s">
        <v>258</v>
      </c>
      <c r="E38" s="32" t="s">
        <v>3</v>
      </c>
    </row>
    <row r="39" spans="2:5" ht="15" thickBot="1">
      <c r="B39" s="23" t="s">
        <v>97</v>
      </c>
      <c r="C39" s="34" t="s">
        <v>42</v>
      </c>
      <c r="D39" s="38" t="s">
        <v>262</v>
      </c>
      <c r="E39" s="32" t="s">
        <v>3</v>
      </c>
    </row>
    <row r="40" spans="2:5" ht="15" thickBot="1">
      <c r="B40" s="23" t="s">
        <v>98</v>
      </c>
      <c r="C40" s="34" t="s">
        <v>53</v>
      </c>
      <c r="D40" s="38" t="s">
        <v>262</v>
      </c>
      <c r="E40" s="32" t="s">
        <v>3</v>
      </c>
    </row>
    <row r="41" spans="2:5" ht="15" thickBot="1">
      <c r="B41" s="23" t="s">
        <v>99</v>
      </c>
      <c r="C41" s="33" t="s">
        <v>49</v>
      </c>
      <c r="D41" s="37" t="s">
        <v>258</v>
      </c>
      <c r="E41" s="32" t="s">
        <v>3</v>
      </c>
    </row>
    <row r="42" spans="2:5" ht="15" thickBot="1">
      <c r="B42" s="23" t="s">
        <v>100</v>
      </c>
      <c r="C42" s="34" t="s">
        <v>41</v>
      </c>
      <c r="D42" s="38" t="s">
        <v>262</v>
      </c>
      <c r="E42" s="32" t="s">
        <v>3</v>
      </c>
    </row>
    <row r="43" spans="2:5" ht="15" thickBot="1">
      <c r="B43" s="23" t="s">
        <v>101</v>
      </c>
      <c r="C43" s="34" t="s">
        <v>28</v>
      </c>
      <c r="D43" s="38" t="s">
        <v>262</v>
      </c>
      <c r="E43" s="32" t="s">
        <v>3</v>
      </c>
    </row>
    <row r="44" spans="2:5" ht="15" thickBot="1">
      <c r="B44" s="23" t="s">
        <v>102</v>
      </c>
      <c r="C44" s="34" t="s">
        <v>9</v>
      </c>
      <c r="D44" s="38" t="s">
        <v>262</v>
      </c>
      <c r="E44" s="32" t="s">
        <v>3</v>
      </c>
    </row>
    <row r="45" spans="2:5" ht="15" thickBot="1">
      <c r="B45" s="23" t="s">
        <v>103</v>
      </c>
      <c r="C45" s="33" t="s">
        <v>26</v>
      </c>
      <c r="D45" s="37" t="s">
        <v>258</v>
      </c>
      <c r="E45" s="32" t="s">
        <v>3</v>
      </c>
    </row>
    <row r="46" spans="2:5" ht="15" thickBot="1">
      <c r="B46" s="23" t="s">
        <v>104</v>
      </c>
      <c r="C46" s="33" t="s">
        <v>43</v>
      </c>
      <c r="D46" s="37" t="s">
        <v>258</v>
      </c>
      <c r="E46" s="32" t="s">
        <v>3</v>
      </c>
    </row>
    <row r="47" spans="2:5" ht="15" thickBot="1">
      <c r="B47" s="23" t="s">
        <v>105</v>
      </c>
      <c r="C47" s="31" t="s">
        <v>13</v>
      </c>
      <c r="D47" s="36" t="s">
        <v>263</v>
      </c>
      <c r="E47" s="32" t="s">
        <v>0</v>
      </c>
    </row>
    <row r="48" spans="2:5" ht="15" thickBot="1">
      <c r="B48" s="23" t="s">
        <v>106</v>
      </c>
      <c r="C48" s="34" t="s">
        <v>44</v>
      </c>
      <c r="D48" s="38" t="s">
        <v>262</v>
      </c>
      <c r="E48" s="32" t="s">
        <v>3</v>
      </c>
    </row>
    <row r="49" spans="2:6" ht="15" thickBot="1">
      <c r="B49" s="23" t="s">
        <v>247</v>
      </c>
      <c r="C49" s="34" t="s">
        <v>54</v>
      </c>
      <c r="D49" s="38" t="s">
        <v>262</v>
      </c>
      <c r="E49" s="32" t="s">
        <v>3</v>
      </c>
    </row>
    <row r="50" spans="2:6" ht="15" thickBot="1">
      <c r="B50" s="23" t="s">
        <v>248</v>
      </c>
      <c r="C50" s="34" t="s">
        <v>24</v>
      </c>
      <c r="D50" s="38" t="s">
        <v>262</v>
      </c>
      <c r="E50" s="32" t="s">
        <v>3</v>
      </c>
    </row>
    <row r="51" spans="2:6" ht="15" thickBot="1">
      <c r="B51" s="23" t="s">
        <v>264</v>
      </c>
      <c r="C51" s="34" t="s">
        <v>46</v>
      </c>
      <c r="D51" s="38" t="s">
        <v>262</v>
      </c>
      <c r="E51" s="32" t="s">
        <v>3</v>
      </c>
    </row>
    <row r="52" spans="2:6" ht="15" thickBot="1">
      <c r="B52" s="23" t="s">
        <v>265</v>
      </c>
      <c r="C52" s="33" t="s">
        <v>39</v>
      </c>
      <c r="D52" s="37" t="s">
        <v>258</v>
      </c>
      <c r="E52" s="32" t="s">
        <v>3</v>
      </c>
    </row>
    <row r="53" spans="2:6" ht="15" thickBot="1">
      <c r="B53" s="23" t="s">
        <v>266</v>
      </c>
      <c r="C53" s="33" t="s">
        <v>1</v>
      </c>
      <c r="D53" s="37" t="s">
        <v>258</v>
      </c>
      <c r="E53" s="32" t="s">
        <v>3</v>
      </c>
    </row>
    <row r="54" spans="2:6" ht="15" thickBot="1">
      <c r="B54" s="41" t="s">
        <v>267</v>
      </c>
      <c r="C54" s="41"/>
      <c r="D54" s="42"/>
      <c r="E54" s="32">
        <v>2</v>
      </c>
      <c r="F54" s="1">
        <f>2/48</f>
        <v>4.1666666666666664E-2</v>
      </c>
    </row>
    <row r="55" spans="2:6" ht="15" thickBot="1">
      <c r="B55" s="41" t="s">
        <v>107</v>
      </c>
      <c r="C55" s="41"/>
      <c r="D55" s="42"/>
      <c r="E55" s="32">
        <v>46</v>
      </c>
      <c r="F55" s="1">
        <f>46/48</f>
        <v>0.95833333333333337</v>
      </c>
    </row>
    <row r="56" spans="2:6" ht="15" thickBot="1">
      <c r="E56" s="32"/>
    </row>
    <row r="57" spans="2:6" ht="15" thickBot="1">
      <c r="E57" s="32"/>
    </row>
    <row r="58" spans="2:6" ht="15" thickBot="1">
      <c r="E58" s="32"/>
    </row>
    <row r="59" spans="2:6" ht="15" thickBot="1">
      <c r="E59" s="32"/>
    </row>
    <row r="60" spans="2:6" ht="15" thickBot="1">
      <c r="E60" s="32"/>
    </row>
    <row r="61" spans="2:6" ht="15" thickBot="1">
      <c r="E61" s="32"/>
    </row>
  </sheetData>
  <mergeCells count="3">
    <mergeCell ref="B54:D54"/>
    <mergeCell ref="B55:D55"/>
    <mergeCell ref="A4:B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abSelected="1" topLeftCell="B1" workbookViewId="0">
      <selection activeCell="B4" sqref="B4"/>
    </sheetView>
  </sheetViews>
  <sheetFormatPr defaultRowHeight="14.5"/>
  <cols>
    <col min="2" max="2" width="26.75" customWidth="1"/>
    <col min="4" max="4" width="10.9140625" bestFit="1" customWidth="1"/>
    <col min="5" max="5" width="16.58203125" bestFit="1" customWidth="1"/>
    <col min="6" max="6" width="10.75" bestFit="1" customWidth="1"/>
  </cols>
  <sheetData>
    <row r="1" spans="1:6" ht="15.5">
      <c r="B1" s="3" t="s">
        <v>196</v>
      </c>
      <c r="C1" s="3" t="s">
        <v>195</v>
      </c>
      <c r="D1" s="4" t="s">
        <v>108</v>
      </c>
      <c r="E1" s="44" t="s">
        <v>197</v>
      </c>
      <c r="F1" s="45"/>
    </row>
    <row r="2" spans="1:6" ht="15.5">
      <c r="B2" s="3"/>
      <c r="C2" s="3"/>
      <c r="D2" s="4"/>
      <c r="E2" s="4" t="s">
        <v>198</v>
      </c>
      <c r="F2" s="4" t="s">
        <v>249</v>
      </c>
    </row>
    <row r="3" spans="1:6">
      <c r="A3">
        <v>1</v>
      </c>
      <c r="B3" t="s">
        <v>268</v>
      </c>
      <c r="C3" t="s">
        <v>59</v>
      </c>
      <c r="D3" t="s">
        <v>199</v>
      </c>
      <c r="E3" s="14">
        <v>45766</v>
      </c>
      <c r="F3" t="s">
        <v>0</v>
      </c>
    </row>
    <row r="4" spans="1:6">
      <c r="A4">
        <v>2</v>
      </c>
      <c r="B4" t="s">
        <v>269</v>
      </c>
      <c r="C4" t="s">
        <v>59</v>
      </c>
      <c r="D4" t="s">
        <v>129</v>
      </c>
      <c r="E4" s="14">
        <v>45784</v>
      </c>
      <c r="F4" t="s">
        <v>0</v>
      </c>
    </row>
    <row r="5" spans="1:6">
      <c r="A5">
        <v>3</v>
      </c>
      <c r="B5" t="s">
        <v>270</v>
      </c>
      <c r="C5" t="s">
        <v>59</v>
      </c>
      <c r="D5" t="s">
        <v>156</v>
      </c>
      <c r="E5" s="14">
        <v>45961</v>
      </c>
      <c r="F5" t="s">
        <v>3</v>
      </c>
    </row>
    <row r="6" spans="1:6">
      <c r="A6">
        <v>4</v>
      </c>
      <c r="B6" t="s">
        <v>271</v>
      </c>
      <c r="C6" t="s">
        <v>60</v>
      </c>
      <c r="D6" t="s">
        <v>200</v>
      </c>
      <c r="E6" s="14">
        <v>45961</v>
      </c>
      <c r="F6" t="s">
        <v>3</v>
      </c>
    </row>
    <row r="7" spans="1:6">
      <c r="A7">
        <v>5</v>
      </c>
      <c r="B7" t="s">
        <v>272</v>
      </c>
      <c r="C7" t="s">
        <v>60</v>
      </c>
      <c r="D7" t="s">
        <v>41</v>
      </c>
      <c r="E7" s="14">
        <v>45961</v>
      </c>
      <c r="F7" t="s">
        <v>3</v>
      </c>
    </row>
    <row r="8" spans="1:6">
      <c r="A8">
        <v>6</v>
      </c>
      <c r="B8" t="s">
        <v>273</v>
      </c>
      <c r="C8" t="s">
        <v>60</v>
      </c>
      <c r="D8" t="s">
        <v>110</v>
      </c>
      <c r="E8" t="s">
        <v>202</v>
      </c>
      <c r="F8" t="s">
        <v>0</v>
      </c>
    </row>
    <row r="9" spans="1:6">
      <c r="A9">
        <v>7</v>
      </c>
      <c r="B9" t="s">
        <v>274</v>
      </c>
      <c r="C9" t="s">
        <v>60</v>
      </c>
      <c r="D9" t="s">
        <v>137</v>
      </c>
      <c r="E9" s="14">
        <v>45961</v>
      </c>
      <c r="F9" t="s">
        <v>3</v>
      </c>
    </row>
    <row r="10" spans="1:6">
      <c r="A10">
        <v>8</v>
      </c>
      <c r="B10" t="s">
        <v>275</v>
      </c>
      <c r="C10" t="s">
        <v>62</v>
      </c>
      <c r="D10" t="s">
        <v>201</v>
      </c>
      <c r="E10" s="13">
        <v>45640</v>
      </c>
      <c r="F10" t="s">
        <v>0</v>
      </c>
    </row>
    <row r="11" spans="1:6">
      <c r="B11" t="s">
        <v>107</v>
      </c>
      <c r="F11">
        <f>COUNTIF(F3:F10,"YES")</f>
        <v>4</v>
      </c>
    </row>
    <row r="12" spans="1:6">
      <c r="B12" t="s">
        <v>207</v>
      </c>
      <c r="F12" s="2">
        <f>F11/8</f>
        <v>0.5</v>
      </c>
    </row>
  </sheetData>
  <autoFilter ref="F1:F12"/>
  <mergeCells count="1">
    <mergeCell ref="E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I22" sqref="I22"/>
    </sheetView>
  </sheetViews>
  <sheetFormatPr defaultRowHeight="14.5"/>
  <cols>
    <col min="1" max="1" width="3.4140625" bestFit="1" customWidth="1"/>
    <col min="3" max="3" width="9.1640625" bestFit="1" customWidth="1"/>
  </cols>
  <sheetData>
    <row r="1" spans="1:5">
      <c r="A1" s="18" t="s">
        <v>215</v>
      </c>
      <c r="B1" s="18" t="s">
        <v>216</v>
      </c>
      <c r="C1" t="s">
        <v>58</v>
      </c>
      <c r="D1" t="s">
        <v>6</v>
      </c>
    </row>
    <row r="2" spans="1:5">
      <c r="A2">
        <v>1</v>
      </c>
      <c r="B2" t="s">
        <v>217</v>
      </c>
      <c r="C2" t="s">
        <v>62</v>
      </c>
      <c r="D2" t="s">
        <v>30</v>
      </c>
      <c r="E2" t="s">
        <v>3</v>
      </c>
    </row>
    <row r="3" spans="1:5">
      <c r="A3">
        <v>2</v>
      </c>
      <c r="B3" t="s">
        <v>45</v>
      </c>
      <c r="C3" t="s">
        <v>62</v>
      </c>
      <c r="D3" t="s">
        <v>45</v>
      </c>
      <c r="E3" t="s">
        <v>3</v>
      </c>
    </row>
    <row r="4" spans="1:5">
      <c r="A4">
        <v>3</v>
      </c>
      <c r="B4" t="s">
        <v>218</v>
      </c>
      <c r="C4" t="s">
        <v>60</v>
      </c>
      <c r="D4" t="s">
        <v>120</v>
      </c>
      <c r="E4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11"/>
  <sheetViews>
    <sheetView workbookViewId="0">
      <selection activeCell="F18" sqref="F18"/>
    </sheetView>
  </sheetViews>
  <sheetFormatPr defaultRowHeight="14.5"/>
  <cols>
    <col min="2" max="2" width="12.9140625" bestFit="1" customWidth="1"/>
    <col min="4" max="4" width="12.25" bestFit="1" customWidth="1"/>
    <col min="5" max="5" width="11.08203125" bestFit="1" customWidth="1"/>
    <col min="7" max="7" width="15.33203125" bestFit="1" customWidth="1"/>
  </cols>
  <sheetData>
    <row r="2" spans="1:7" ht="15.5">
      <c r="B2" s="48" t="s">
        <v>196</v>
      </c>
      <c r="C2" s="48" t="s">
        <v>195</v>
      </c>
      <c r="D2" s="50" t="s">
        <v>108</v>
      </c>
      <c r="E2" s="46" t="s">
        <v>197</v>
      </c>
      <c r="F2" s="47"/>
      <c r="G2" s="47"/>
    </row>
    <row r="3" spans="1:7" ht="15.5">
      <c r="B3" s="49"/>
      <c r="C3" s="49"/>
      <c r="D3" s="51"/>
      <c r="E3" s="4" t="s">
        <v>198</v>
      </c>
      <c r="F3" s="4" t="s">
        <v>213</v>
      </c>
      <c r="G3" s="17" t="s">
        <v>214</v>
      </c>
    </row>
    <row r="4" spans="1:7">
      <c r="A4">
        <v>1</v>
      </c>
      <c r="B4" t="s">
        <v>203</v>
      </c>
      <c r="C4" t="s">
        <v>61</v>
      </c>
      <c r="D4" t="s">
        <v>204</v>
      </c>
      <c r="E4" s="12">
        <v>45684</v>
      </c>
      <c r="F4" t="s">
        <v>0</v>
      </c>
      <c r="G4" t="s">
        <v>0</v>
      </c>
    </row>
    <row r="5" spans="1:7">
      <c r="A5">
        <v>2</v>
      </c>
      <c r="B5" t="s">
        <v>205</v>
      </c>
      <c r="C5" t="s">
        <v>61</v>
      </c>
      <c r="D5" t="s">
        <v>206</v>
      </c>
      <c r="E5" s="12">
        <v>45834</v>
      </c>
      <c r="F5" t="s">
        <v>0</v>
      </c>
      <c r="G5" t="s">
        <v>0</v>
      </c>
    </row>
    <row r="6" spans="1:7">
      <c r="A6">
        <v>3</v>
      </c>
      <c r="B6" t="s">
        <v>208</v>
      </c>
      <c r="C6" t="s">
        <v>63</v>
      </c>
      <c r="D6" t="s">
        <v>212</v>
      </c>
      <c r="E6" s="13">
        <v>45961</v>
      </c>
      <c r="F6" t="s">
        <v>3</v>
      </c>
      <c r="G6" t="s">
        <v>3</v>
      </c>
    </row>
    <row r="7" spans="1:7" ht="29">
      <c r="A7">
        <v>4</v>
      </c>
      <c r="B7" s="16" t="s">
        <v>209</v>
      </c>
      <c r="C7" s="21" t="s">
        <v>61</v>
      </c>
      <c r="D7" s="22" t="s">
        <v>50</v>
      </c>
      <c r="E7" s="13">
        <v>45961</v>
      </c>
      <c r="F7" t="s">
        <v>3</v>
      </c>
      <c r="G7" t="s">
        <v>3</v>
      </c>
    </row>
    <row r="8" spans="1:7" ht="29">
      <c r="A8">
        <v>5</v>
      </c>
      <c r="B8" t="s">
        <v>210</v>
      </c>
      <c r="C8" s="21" t="s">
        <v>59</v>
      </c>
      <c r="D8" s="22" t="s">
        <v>35</v>
      </c>
      <c r="E8" s="13">
        <v>45760</v>
      </c>
      <c r="F8" t="s">
        <v>0</v>
      </c>
      <c r="G8" t="s">
        <v>0</v>
      </c>
    </row>
    <row r="9" spans="1:7">
      <c r="A9">
        <v>6</v>
      </c>
      <c r="B9" t="s">
        <v>211</v>
      </c>
      <c r="C9" t="s">
        <v>61</v>
      </c>
      <c r="D9" t="s">
        <v>206</v>
      </c>
      <c r="E9" s="13">
        <v>45961</v>
      </c>
      <c r="F9" t="s">
        <v>3</v>
      </c>
      <c r="G9" t="s">
        <v>3</v>
      </c>
    </row>
    <row r="10" spans="1:7">
      <c r="B10" t="s">
        <v>107</v>
      </c>
      <c r="F10">
        <f>COUNTIF(F4:F9,"YES")</f>
        <v>3</v>
      </c>
      <c r="G10">
        <f>COUNTIF(G4:G9,"YES")</f>
        <v>3</v>
      </c>
    </row>
    <row r="11" spans="1:7">
      <c r="B11" t="s">
        <v>207</v>
      </c>
      <c r="F11" s="1">
        <f>F10/9</f>
        <v>0.33333333333333331</v>
      </c>
      <c r="G11" s="1">
        <f>G10/9</f>
        <v>0.33333333333333331</v>
      </c>
    </row>
  </sheetData>
  <autoFilter ref="F2:F21"/>
  <mergeCells count="4">
    <mergeCell ref="E2:G2"/>
    <mergeCell ref="B2:B3"/>
    <mergeCell ref="C2:C3"/>
    <mergeCell ref="D2:D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4"/>
  <sheetViews>
    <sheetView topLeftCell="A45" workbookViewId="0">
      <selection activeCell="E1" sqref="E1:F1"/>
    </sheetView>
  </sheetViews>
  <sheetFormatPr defaultRowHeight="14.5"/>
  <cols>
    <col min="2" max="2" width="14.33203125" bestFit="1" customWidth="1"/>
    <col min="3" max="3" width="14.33203125" customWidth="1"/>
    <col min="4" max="4" width="10.5" bestFit="1" customWidth="1"/>
    <col min="5" max="5" width="17.5" bestFit="1" customWidth="1"/>
    <col min="6" max="6" width="17.5" customWidth="1"/>
  </cols>
  <sheetData>
    <row r="1" spans="1:6" ht="15.5">
      <c r="A1" s="3"/>
      <c r="B1" s="3" t="s">
        <v>196</v>
      </c>
      <c r="C1" s="3" t="s">
        <v>195</v>
      </c>
      <c r="D1" s="4" t="s">
        <v>108</v>
      </c>
      <c r="E1" s="44" t="s">
        <v>197</v>
      </c>
      <c r="F1" s="45"/>
    </row>
    <row r="2" spans="1:6" ht="15.5">
      <c r="A2" s="3"/>
      <c r="B2" s="3"/>
      <c r="C2" s="3"/>
      <c r="D2" s="4"/>
      <c r="E2" s="4" t="s">
        <v>198</v>
      </c>
      <c r="F2" s="4" t="s">
        <v>245</v>
      </c>
    </row>
    <row r="3" spans="1:6">
      <c r="A3" s="5">
        <v>1</v>
      </c>
      <c r="B3" s="8" t="s">
        <v>194</v>
      </c>
      <c r="C3" s="8" t="s">
        <v>62</v>
      </c>
      <c r="D3" s="8" t="s">
        <v>5</v>
      </c>
      <c r="E3" s="11">
        <v>45811</v>
      </c>
      <c r="F3" s="8" t="s">
        <v>0</v>
      </c>
    </row>
    <row r="4" spans="1:6">
      <c r="A4" s="5">
        <v>2</v>
      </c>
      <c r="B4" s="7" t="s">
        <v>143</v>
      </c>
      <c r="C4" s="7" t="s">
        <v>62</v>
      </c>
      <c r="D4" s="7" t="s">
        <v>5</v>
      </c>
      <c r="E4" s="10">
        <v>45961</v>
      </c>
      <c r="F4" s="7" t="s">
        <v>3</v>
      </c>
    </row>
    <row r="5" spans="1:6">
      <c r="A5" s="5">
        <v>3</v>
      </c>
      <c r="B5" s="7" t="s">
        <v>187</v>
      </c>
      <c r="C5" s="7" t="s">
        <v>62</v>
      </c>
      <c r="D5" s="7" t="s">
        <v>132</v>
      </c>
      <c r="E5" s="10">
        <v>45961</v>
      </c>
      <c r="F5" s="7" t="s">
        <v>3</v>
      </c>
    </row>
    <row r="6" spans="1:6">
      <c r="A6" s="5">
        <v>4</v>
      </c>
      <c r="B6" s="7" t="s">
        <v>177</v>
      </c>
      <c r="C6" s="7" t="s">
        <v>62</v>
      </c>
      <c r="D6" s="7" t="s">
        <v>132</v>
      </c>
      <c r="E6" s="10">
        <v>45961</v>
      </c>
      <c r="F6" s="7" t="s">
        <v>3</v>
      </c>
    </row>
    <row r="7" spans="1:6">
      <c r="A7" s="5">
        <v>5</v>
      </c>
      <c r="B7" s="7" t="s">
        <v>131</v>
      </c>
      <c r="C7" s="7" t="s">
        <v>62</v>
      </c>
      <c r="D7" s="7" t="s">
        <v>132</v>
      </c>
      <c r="E7" s="10">
        <v>45961</v>
      </c>
      <c r="F7" s="7" t="s">
        <v>3</v>
      </c>
    </row>
    <row r="8" spans="1:6">
      <c r="A8" s="5">
        <v>6</v>
      </c>
      <c r="B8" s="7" t="s">
        <v>158</v>
      </c>
      <c r="C8" s="7" t="s">
        <v>62</v>
      </c>
      <c r="D8" s="7" t="s">
        <v>132</v>
      </c>
      <c r="E8" s="10">
        <v>45961</v>
      </c>
      <c r="F8" s="7" t="s">
        <v>3</v>
      </c>
    </row>
    <row r="9" spans="1:6">
      <c r="A9" s="5">
        <v>7</v>
      </c>
      <c r="B9" s="7" t="s">
        <v>159</v>
      </c>
      <c r="C9" s="7" t="s">
        <v>62</v>
      </c>
      <c r="D9" s="7" t="s">
        <v>32</v>
      </c>
      <c r="E9" s="10">
        <v>45961</v>
      </c>
      <c r="F9" s="7" t="s">
        <v>3</v>
      </c>
    </row>
    <row r="10" spans="1:6">
      <c r="A10" s="5">
        <v>8</v>
      </c>
      <c r="B10" s="7" t="s">
        <v>161</v>
      </c>
      <c r="C10" s="7" t="s">
        <v>62</v>
      </c>
      <c r="D10" s="7" t="s">
        <v>32</v>
      </c>
      <c r="E10" s="10">
        <v>45743</v>
      </c>
      <c r="F10" s="7" t="s">
        <v>0</v>
      </c>
    </row>
    <row r="11" spans="1:6">
      <c r="A11" s="5">
        <v>9</v>
      </c>
      <c r="B11" s="7" t="s">
        <v>162</v>
      </c>
      <c r="C11" s="7" t="s">
        <v>62</v>
      </c>
      <c r="D11" s="7" t="s">
        <v>163</v>
      </c>
      <c r="E11" s="10">
        <v>45800</v>
      </c>
      <c r="F11" s="7" t="s">
        <v>0</v>
      </c>
    </row>
    <row r="12" spans="1:6">
      <c r="A12" s="5">
        <v>10</v>
      </c>
      <c r="B12" s="7" t="s">
        <v>186</v>
      </c>
      <c r="C12" s="7" t="s">
        <v>62</v>
      </c>
      <c r="D12" s="7" t="s">
        <v>32</v>
      </c>
      <c r="E12" s="10">
        <v>45961</v>
      </c>
      <c r="F12" s="7" t="s">
        <v>3</v>
      </c>
    </row>
    <row r="13" spans="1:6">
      <c r="A13" s="5">
        <v>11</v>
      </c>
      <c r="B13" s="7" t="s">
        <v>193</v>
      </c>
      <c r="C13" s="7" t="s">
        <v>62</v>
      </c>
      <c r="D13" s="7" t="s">
        <v>30</v>
      </c>
      <c r="E13" s="10">
        <v>45961</v>
      </c>
      <c r="F13" s="7" t="s">
        <v>3</v>
      </c>
    </row>
    <row r="14" spans="1:6">
      <c r="A14" s="5">
        <v>12</v>
      </c>
      <c r="B14" s="7" t="s">
        <v>138</v>
      </c>
      <c r="C14" s="7" t="s">
        <v>62</v>
      </c>
      <c r="D14" s="7" t="s">
        <v>30</v>
      </c>
      <c r="E14" s="10">
        <v>45961</v>
      </c>
      <c r="F14" s="7" t="s">
        <v>3</v>
      </c>
    </row>
    <row r="15" spans="1:6">
      <c r="A15" s="5">
        <v>13</v>
      </c>
      <c r="B15" s="7" t="s">
        <v>152</v>
      </c>
      <c r="C15" s="7" t="s">
        <v>62</v>
      </c>
      <c r="D15" s="7" t="s">
        <v>30</v>
      </c>
      <c r="E15" s="10">
        <v>45936</v>
      </c>
      <c r="F15" s="7" t="s">
        <v>3</v>
      </c>
    </row>
    <row r="16" spans="1:6">
      <c r="A16" s="5">
        <v>14</v>
      </c>
      <c r="B16" s="9" t="s">
        <v>188</v>
      </c>
      <c r="C16" s="9" t="s">
        <v>62</v>
      </c>
      <c r="D16" s="9" t="s">
        <v>45</v>
      </c>
      <c r="E16" s="10">
        <v>45900</v>
      </c>
      <c r="F16" s="9" t="s">
        <v>3</v>
      </c>
    </row>
    <row r="17" spans="1:6">
      <c r="A17" s="5">
        <v>15</v>
      </c>
      <c r="B17" s="7" t="s">
        <v>151</v>
      </c>
      <c r="C17" s="7" t="s">
        <v>62</v>
      </c>
      <c r="D17" s="7" t="s">
        <v>45</v>
      </c>
      <c r="E17" s="10">
        <v>45895</v>
      </c>
      <c r="F17" s="7" t="s">
        <v>0</v>
      </c>
    </row>
    <row r="18" spans="1:6">
      <c r="A18" s="5">
        <v>16</v>
      </c>
      <c r="B18" s="7" t="s">
        <v>144</v>
      </c>
      <c r="C18" s="7" t="s">
        <v>62</v>
      </c>
      <c r="D18" s="7" t="s">
        <v>4</v>
      </c>
      <c r="E18" s="10">
        <v>45961</v>
      </c>
      <c r="F18" s="7" t="s">
        <v>3</v>
      </c>
    </row>
    <row r="19" spans="1:6">
      <c r="A19" s="5">
        <v>17</v>
      </c>
      <c r="B19" s="7" t="s">
        <v>123</v>
      </c>
      <c r="C19" s="7" t="s">
        <v>62</v>
      </c>
      <c r="D19" s="7" t="s">
        <v>4</v>
      </c>
      <c r="E19" s="10">
        <v>45798</v>
      </c>
      <c r="F19" s="7" t="s">
        <v>0</v>
      </c>
    </row>
    <row r="20" spans="1:6">
      <c r="A20" s="5">
        <v>18</v>
      </c>
      <c r="B20" s="7" t="s">
        <v>115</v>
      </c>
      <c r="C20" s="7" t="s">
        <v>62</v>
      </c>
      <c r="D20" s="7" t="s">
        <v>5</v>
      </c>
      <c r="E20" s="10">
        <v>45936</v>
      </c>
      <c r="F20" s="7" t="s">
        <v>3</v>
      </c>
    </row>
    <row r="21" spans="1:6">
      <c r="A21" s="5">
        <v>19</v>
      </c>
      <c r="B21" s="7" t="s">
        <v>166</v>
      </c>
      <c r="C21" s="7" t="s">
        <v>63</v>
      </c>
      <c r="D21" s="7" t="s">
        <v>167</v>
      </c>
      <c r="E21" s="10">
        <v>45754</v>
      </c>
      <c r="F21" s="7" t="s">
        <v>0</v>
      </c>
    </row>
    <row r="22" spans="1:6">
      <c r="A22" s="5">
        <v>20</v>
      </c>
      <c r="B22" s="7" t="s">
        <v>124</v>
      </c>
      <c r="C22" s="7" t="s">
        <v>63</v>
      </c>
      <c r="D22" s="7" t="s">
        <v>20</v>
      </c>
      <c r="E22" s="10">
        <v>45954</v>
      </c>
      <c r="F22" s="7" t="s">
        <v>3</v>
      </c>
    </row>
    <row r="23" spans="1:6">
      <c r="A23" s="5">
        <v>21</v>
      </c>
      <c r="B23" s="7" t="s">
        <v>172</v>
      </c>
      <c r="C23" s="7" t="s">
        <v>63</v>
      </c>
      <c r="D23" s="7" t="s">
        <v>20</v>
      </c>
      <c r="E23" s="10">
        <v>45961</v>
      </c>
      <c r="F23" s="7" t="s">
        <v>3</v>
      </c>
    </row>
    <row r="24" spans="1:6">
      <c r="A24" s="5">
        <v>22</v>
      </c>
      <c r="B24" s="7" t="s">
        <v>135</v>
      </c>
      <c r="C24" s="7" t="s">
        <v>63</v>
      </c>
      <c r="D24" s="7" t="s">
        <v>20</v>
      </c>
      <c r="E24" s="10">
        <v>45707</v>
      </c>
      <c r="F24" s="7" t="s">
        <v>0</v>
      </c>
    </row>
    <row r="25" spans="1:6">
      <c r="A25" s="5">
        <v>23</v>
      </c>
      <c r="B25" s="7" t="s">
        <v>133</v>
      </c>
      <c r="C25" s="7" t="s">
        <v>63</v>
      </c>
      <c r="D25" s="7" t="s">
        <v>2</v>
      </c>
      <c r="E25" s="10">
        <v>45946</v>
      </c>
      <c r="F25" s="7" t="s">
        <v>3</v>
      </c>
    </row>
    <row r="26" spans="1:6">
      <c r="A26" s="5">
        <v>24</v>
      </c>
      <c r="B26" s="7" t="s">
        <v>157</v>
      </c>
      <c r="C26" s="7" t="s">
        <v>63</v>
      </c>
      <c r="D26" s="7" t="s">
        <v>2</v>
      </c>
      <c r="E26" s="10">
        <v>45961</v>
      </c>
      <c r="F26" s="7" t="s">
        <v>3</v>
      </c>
    </row>
    <row r="27" spans="1:6">
      <c r="A27" s="5">
        <v>25</v>
      </c>
      <c r="B27" s="7" t="s">
        <v>189</v>
      </c>
      <c r="C27" s="7" t="s">
        <v>61</v>
      </c>
      <c r="D27" s="7" t="s">
        <v>190</v>
      </c>
      <c r="E27" s="10">
        <v>45961</v>
      </c>
      <c r="F27" s="7" t="s">
        <v>3</v>
      </c>
    </row>
    <row r="28" spans="1:6">
      <c r="A28" s="5">
        <v>26</v>
      </c>
      <c r="B28" s="7" t="s">
        <v>57</v>
      </c>
      <c r="C28" s="7" t="s">
        <v>61</v>
      </c>
      <c r="D28" s="7" t="s">
        <v>148</v>
      </c>
      <c r="E28" s="10">
        <v>45937</v>
      </c>
      <c r="F28" s="7" t="s">
        <v>3</v>
      </c>
    </row>
    <row r="29" spans="1:6">
      <c r="A29" s="5">
        <v>27</v>
      </c>
      <c r="B29" s="7" t="s">
        <v>149</v>
      </c>
      <c r="C29" s="7" t="s">
        <v>61</v>
      </c>
      <c r="D29" s="7" t="s">
        <v>148</v>
      </c>
      <c r="E29" s="10">
        <v>45936</v>
      </c>
      <c r="F29" s="7" t="s">
        <v>3</v>
      </c>
    </row>
    <row r="30" spans="1:6">
      <c r="A30" s="5">
        <v>28</v>
      </c>
      <c r="B30" s="7" t="s">
        <v>175</v>
      </c>
      <c r="C30" s="7" t="s">
        <v>61</v>
      </c>
      <c r="D30" s="7" t="s">
        <v>148</v>
      </c>
      <c r="E30" s="10">
        <v>45773</v>
      </c>
      <c r="F30" s="7" t="s">
        <v>0</v>
      </c>
    </row>
    <row r="31" spans="1:6">
      <c r="A31" s="5">
        <v>29</v>
      </c>
      <c r="B31" s="7" t="s">
        <v>191</v>
      </c>
      <c r="C31" s="7" t="s">
        <v>61</v>
      </c>
      <c r="D31" s="7" t="s">
        <v>148</v>
      </c>
      <c r="E31" s="10">
        <v>45940</v>
      </c>
      <c r="F31" s="7" t="s">
        <v>3</v>
      </c>
    </row>
    <row r="32" spans="1:6">
      <c r="A32" s="5">
        <v>30</v>
      </c>
      <c r="B32" s="7" t="s">
        <v>14</v>
      </c>
      <c r="C32" s="7" t="s">
        <v>61</v>
      </c>
      <c r="D32" s="7" t="s">
        <v>164</v>
      </c>
      <c r="E32" s="10">
        <v>45961</v>
      </c>
      <c r="F32" s="7" t="s">
        <v>3</v>
      </c>
    </row>
    <row r="33" spans="1:6">
      <c r="A33" s="5">
        <v>31</v>
      </c>
      <c r="B33" s="7" t="s">
        <v>153</v>
      </c>
      <c r="C33" s="7" t="s">
        <v>61</v>
      </c>
      <c r="D33" s="7" t="s">
        <v>154</v>
      </c>
      <c r="E33" s="10">
        <v>45823</v>
      </c>
      <c r="F33" s="7" t="s">
        <v>0</v>
      </c>
    </row>
    <row r="34" spans="1:6">
      <c r="A34" s="5">
        <v>32</v>
      </c>
      <c r="B34" s="7" t="s">
        <v>118</v>
      </c>
      <c r="C34" s="7" t="s">
        <v>61</v>
      </c>
      <c r="D34" s="7" t="s">
        <v>47</v>
      </c>
      <c r="E34" s="10">
        <v>45961</v>
      </c>
      <c r="F34" s="7" t="s">
        <v>3</v>
      </c>
    </row>
    <row r="35" spans="1:6">
      <c r="A35" s="5">
        <v>33</v>
      </c>
      <c r="B35" s="7" t="s">
        <v>116</v>
      </c>
      <c r="C35" s="7" t="s">
        <v>61</v>
      </c>
      <c r="D35" s="7" t="s">
        <v>47</v>
      </c>
      <c r="E35" s="10">
        <v>45961</v>
      </c>
      <c r="F35" s="7" t="s">
        <v>3</v>
      </c>
    </row>
    <row r="36" spans="1:6">
      <c r="A36" s="5">
        <v>34</v>
      </c>
      <c r="B36" s="7" t="s">
        <v>121</v>
      </c>
      <c r="C36" s="7" t="s">
        <v>61</v>
      </c>
      <c r="D36" s="7" t="s">
        <v>47</v>
      </c>
      <c r="E36" s="10">
        <v>45961</v>
      </c>
      <c r="F36" s="7" t="s">
        <v>3</v>
      </c>
    </row>
    <row r="37" spans="1:6">
      <c r="A37" s="5">
        <v>35</v>
      </c>
      <c r="B37" s="7" t="s">
        <v>192</v>
      </c>
      <c r="C37" s="7" t="s">
        <v>61</v>
      </c>
      <c r="D37" s="7" t="s">
        <v>47</v>
      </c>
      <c r="E37" s="10">
        <v>45957</v>
      </c>
      <c r="F37" s="7" t="s">
        <v>3</v>
      </c>
    </row>
    <row r="38" spans="1:6">
      <c r="A38" s="5">
        <v>36</v>
      </c>
      <c r="B38" s="7" t="s">
        <v>125</v>
      </c>
      <c r="C38" s="7" t="s">
        <v>59</v>
      </c>
      <c r="D38" s="7" t="s">
        <v>114</v>
      </c>
      <c r="E38" s="10">
        <v>45961</v>
      </c>
      <c r="F38" s="7" t="s">
        <v>3</v>
      </c>
    </row>
    <row r="39" spans="1:6">
      <c r="A39" s="5">
        <v>37</v>
      </c>
      <c r="B39" s="7" t="s">
        <v>173</v>
      </c>
      <c r="C39" s="7" t="s">
        <v>59</v>
      </c>
      <c r="D39" s="7" t="s">
        <v>114</v>
      </c>
      <c r="E39" s="10">
        <v>45728</v>
      </c>
      <c r="F39" s="7" t="s">
        <v>0</v>
      </c>
    </row>
    <row r="40" spans="1:6">
      <c r="A40" s="5">
        <v>38</v>
      </c>
      <c r="B40" s="7" t="s">
        <v>113</v>
      </c>
      <c r="C40" s="7" t="s">
        <v>59</v>
      </c>
      <c r="D40" s="7" t="s">
        <v>114</v>
      </c>
      <c r="E40" s="10">
        <v>45782</v>
      </c>
      <c r="F40" s="7" t="s">
        <v>0</v>
      </c>
    </row>
    <row r="41" spans="1:6">
      <c r="A41" s="5">
        <v>39</v>
      </c>
      <c r="B41" s="7" t="s">
        <v>134</v>
      </c>
      <c r="C41" s="7" t="s">
        <v>59</v>
      </c>
      <c r="D41" s="7" t="s">
        <v>12</v>
      </c>
      <c r="E41" s="10">
        <v>45961</v>
      </c>
      <c r="F41" s="7" t="s">
        <v>3</v>
      </c>
    </row>
    <row r="42" spans="1:6">
      <c r="A42" s="5">
        <v>40</v>
      </c>
      <c r="B42" s="7" t="s">
        <v>178</v>
      </c>
      <c r="C42" s="7" t="s">
        <v>59</v>
      </c>
      <c r="D42" s="7" t="s">
        <v>12</v>
      </c>
      <c r="E42" s="10">
        <v>45961</v>
      </c>
      <c r="F42" s="7" t="s">
        <v>3</v>
      </c>
    </row>
    <row r="43" spans="1:6">
      <c r="A43" s="5">
        <v>41</v>
      </c>
      <c r="B43" s="7" t="s">
        <v>184</v>
      </c>
      <c r="C43" s="7" t="s">
        <v>59</v>
      </c>
      <c r="D43" s="7" t="s">
        <v>12</v>
      </c>
      <c r="E43" s="10">
        <v>45739</v>
      </c>
      <c r="F43" s="7" t="s">
        <v>0</v>
      </c>
    </row>
    <row r="44" spans="1:6">
      <c r="A44" s="5">
        <v>42</v>
      </c>
      <c r="B44" s="7" t="s">
        <v>122</v>
      </c>
      <c r="C44" s="7" t="s">
        <v>59</v>
      </c>
      <c r="D44" s="7" t="s">
        <v>12</v>
      </c>
      <c r="E44" s="10">
        <v>45961</v>
      </c>
      <c r="F44" s="7" t="s">
        <v>3</v>
      </c>
    </row>
    <row r="45" spans="1:6">
      <c r="A45" s="5">
        <v>43</v>
      </c>
      <c r="B45" s="7" t="s">
        <v>146</v>
      </c>
      <c r="C45" s="7" t="s">
        <v>59</v>
      </c>
      <c r="D45" s="7" t="s">
        <v>147</v>
      </c>
      <c r="E45" s="10">
        <v>45961</v>
      </c>
      <c r="F45" s="7" t="s">
        <v>3</v>
      </c>
    </row>
    <row r="46" spans="1:6">
      <c r="A46" s="5">
        <v>44</v>
      </c>
      <c r="B46" s="7" t="s">
        <v>139</v>
      </c>
      <c r="C46" s="7" t="s">
        <v>59</v>
      </c>
      <c r="D46" s="7" t="s">
        <v>140</v>
      </c>
      <c r="E46" s="10">
        <v>45728</v>
      </c>
      <c r="F46" s="7" t="s">
        <v>0</v>
      </c>
    </row>
    <row r="47" spans="1:6">
      <c r="A47" s="5">
        <v>45</v>
      </c>
      <c r="B47" s="7" t="s">
        <v>160</v>
      </c>
      <c r="C47" s="7" t="s">
        <v>59</v>
      </c>
      <c r="D47" s="7" t="s">
        <v>140</v>
      </c>
      <c r="E47" s="10">
        <v>45961</v>
      </c>
      <c r="F47" s="7" t="s">
        <v>3</v>
      </c>
    </row>
    <row r="48" spans="1:6">
      <c r="A48" s="5">
        <v>46</v>
      </c>
      <c r="B48" s="7" t="s">
        <v>145</v>
      </c>
      <c r="C48" s="7" t="s">
        <v>59</v>
      </c>
      <c r="D48" s="7" t="s">
        <v>129</v>
      </c>
      <c r="E48" s="10">
        <v>45942</v>
      </c>
      <c r="F48" s="7" t="s">
        <v>3</v>
      </c>
    </row>
    <row r="49" spans="1:6">
      <c r="A49" s="5">
        <v>47</v>
      </c>
      <c r="B49" s="7" t="s">
        <v>128</v>
      </c>
      <c r="C49" s="7" t="s">
        <v>59</v>
      </c>
      <c r="D49" s="7" t="s">
        <v>129</v>
      </c>
      <c r="E49" s="10">
        <v>45681</v>
      </c>
      <c r="F49" s="7" t="s">
        <v>0</v>
      </c>
    </row>
    <row r="50" spans="1:6">
      <c r="A50" s="5">
        <v>48</v>
      </c>
      <c r="B50" s="8" t="s">
        <v>169</v>
      </c>
      <c r="C50" s="8" t="s">
        <v>59</v>
      </c>
      <c r="D50" s="8" t="s">
        <v>156</v>
      </c>
      <c r="E50" s="11">
        <v>45752</v>
      </c>
      <c r="F50" s="8" t="s">
        <v>0</v>
      </c>
    </row>
    <row r="51" spans="1:6">
      <c r="A51" s="5">
        <v>49</v>
      </c>
      <c r="B51" s="7" t="s">
        <v>174</v>
      </c>
      <c r="C51" s="7" t="s">
        <v>59</v>
      </c>
      <c r="D51" s="7" t="s">
        <v>156</v>
      </c>
      <c r="E51" s="10">
        <v>45671</v>
      </c>
      <c r="F51" s="7" t="s">
        <v>0</v>
      </c>
    </row>
    <row r="52" spans="1:6">
      <c r="A52" s="5">
        <v>50</v>
      </c>
      <c r="B52" s="7" t="s">
        <v>171</v>
      </c>
      <c r="C52" s="7" t="s">
        <v>59</v>
      </c>
      <c r="D52" s="7" t="s">
        <v>156</v>
      </c>
      <c r="E52" s="10">
        <v>45961</v>
      </c>
      <c r="F52" s="7" t="s">
        <v>3</v>
      </c>
    </row>
    <row r="53" spans="1:6">
      <c r="A53" s="5">
        <v>51</v>
      </c>
      <c r="B53" s="7" t="s">
        <v>155</v>
      </c>
      <c r="C53" s="7" t="s">
        <v>59</v>
      </c>
      <c r="D53" s="7" t="s">
        <v>156</v>
      </c>
      <c r="E53" s="10">
        <v>45857</v>
      </c>
      <c r="F53" s="7" t="s">
        <v>3</v>
      </c>
    </row>
    <row r="54" spans="1:6">
      <c r="A54" s="5">
        <v>52</v>
      </c>
      <c r="B54" s="7" t="s">
        <v>185</v>
      </c>
      <c r="C54" s="7" t="s">
        <v>59</v>
      </c>
      <c r="D54" s="7" t="s">
        <v>16</v>
      </c>
      <c r="E54" s="10">
        <v>45732</v>
      </c>
      <c r="F54" s="7" t="s">
        <v>0</v>
      </c>
    </row>
    <row r="55" spans="1:6">
      <c r="A55" s="5">
        <v>53</v>
      </c>
      <c r="B55" s="7" t="s">
        <v>165</v>
      </c>
      <c r="C55" s="7" t="s">
        <v>59</v>
      </c>
      <c r="D55" s="7" t="s">
        <v>16</v>
      </c>
      <c r="E55" s="10">
        <v>45750</v>
      </c>
      <c r="F55" s="7" t="s">
        <v>0</v>
      </c>
    </row>
    <row r="56" spans="1:6">
      <c r="A56" s="5">
        <v>54</v>
      </c>
      <c r="B56" s="7" t="s">
        <v>176</v>
      </c>
      <c r="C56" s="7" t="s">
        <v>59</v>
      </c>
      <c r="D56" s="7" t="s">
        <v>16</v>
      </c>
      <c r="E56" s="10">
        <v>45961</v>
      </c>
      <c r="F56" s="7" t="s">
        <v>3</v>
      </c>
    </row>
    <row r="57" spans="1:6">
      <c r="A57" s="5">
        <v>55</v>
      </c>
      <c r="B57" s="7" t="s">
        <v>119</v>
      </c>
      <c r="C57" s="7" t="s">
        <v>60</v>
      </c>
      <c r="D57" s="7" t="s">
        <v>120</v>
      </c>
      <c r="E57" s="10">
        <v>45961</v>
      </c>
      <c r="F57" s="7" t="s">
        <v>3</v>
      </c>
    </row>
    <row r="58" spans="1:6">
      <c r="A58" s="5">
        <v>56</v>
      </c>
      <c r="B58" s="7" t="s">
        <v>182</v>
      </c>
      <c r="C58" s="7" t="s">
        <v>60</v>
      </c>
      <c r="D58" s="7" t="s">
        <v>120</v>
      </c>
      <c r="E58" s="10">
        <v>45961</v>
      </c>
      <c r="F58" s="7" t="s">
        <v>3</v>
      </c>
    </row>
    <row r="59" spans="1:6">
      <c r="A59" s="5">
        <v>57</v>
      </c>
      <c r="B59" s="7" t="s">
        <v>181</v>
      </c>
      <c r="C59" s="7" t="s">
        <v>60</v>
      </c>
      <c r="D59" s="7" t="s">
        <v>120</v>
      </c>
      <c r="E59" s="10">
        <v>45961</v>
      </c>
      <c r="F59" s="7" t="s">
        <v>3</v>
      </c>
    </row>
    <row r="60" spans="1:6">
      <c r="A60" s="5">
        <v>58</v>
      </c>
      <c r="B60" s="7" t="s">
        <v>179</v>
      </c>
      <c r="C60" s="7" t="s">
        <v>60</v>
      </c>
      <c r="D60" s="7" t="s">
        <v>41</v>
      </c>
      <c r="E60" s="10">
        <v>45820</v>
      </c>
      <c r="F60" s="7" t="s">
        <v>0</v>
      </c>
    </row>
    <row r="61" spans="1:6">
      <c r="A61" s="5">
        <v>59</v>
      </c>
      <c r="B61" s="7" t="s">
        <v>136</v>
      </c>
      <c r="C61" s="7" t="s">
        <v>60</v>
      </c>
      <c r="D61" s="7" t="s">
        <v>137</v>
      </c>
      <c r="E61" s="10">
        <v>45921</v>
      </c>
      <c r="F61" s="7" t="s">
        <v>3</v>
      </c>
    </row>
    <row r="62" spans="1:6" ht="15">
      <c r="A62" s="5">
        <v>60</v>
      </c>
      <c r="B62" s="6" t="s">
        <v>109</v>
      </c>
      <c r="C62" s="6" t="s">
        <v>60</v>
      </c>
      <c r="D62" s="7" t="s">
        <v>110</v>
      </c>
      <c r="E62" s="10">
        <v>45961</v>
      </c>
      <c r="F62" s="7" t="s">
        <v>3</v>
      </c>
    </row>
    <row r="63" spans="1:6">
      <c r="A63" s="5">
        <v>61</v>
      </c>
      <c r="B63" s="7" t="s">
        <v>111</v>
      </c>
      <c r="C63" s="7" t="s">
        <v>60</v>
      </c>
      <c r="D63" s="7" t="s">
        <v>112</v>
      </c>
      <c r="E63" s="15">
        <v>45961</v>
      </c>
      <c r="F63" s="7" t="s">
        <v>3</v>
      </c>
    </row>
    <row r="64" spans="1:6">
      <c r="A64" s="5">
        <v>62</v>
      </c>
      <c r="B64" s="7" t="s">
        <v>180</v>
      </c>
      <c r="C64" s="7" t="s">
        <v>60</v>
      </c>
      <c r="D64" s="7" t="s">
        <v>112</v>
      </c>
      <c r="E64" s="10">
        <v>45961</v>
      </c>
      <c r="F64" s="7" t="s">
        <v>3</v>
      </c>
    </row>
    <row r="65" spans="1:6">
      <c r="A65" s="5">
        <v>63</v>
      </c>
      <c r="B65" s="7" t="s">
        <v>117</v>
      </c>
      <c r="C65" s="7" t="s">
        <v>60</v>
      </c>
      <c r="D65" s="7" t="s">
        <v>112</v>
      </c>
      <c r="E65" s="10">
        <v>45961</v>
      </c>
      <c r="F65" s="7" t="s">
        <v>3</v>
      </c>
    </row>
    <row r="66" spans="1:6">
      <c r="A66" s="5">
        <v>64</v>
      </c>
      <c r="B66" s="7" t="s">
        <v>150</v>
      </c>
      <c r="C66" s="7" t="s">
        <v>60</v>
      </c>
      <c r="D66" s="7" t="s">
        <v>112</v>
      </c>
      <c r="E66" s="10">
        <v>45961</v>
      </c>
      <c r="F66" s="7" t="s">
        <v>3</v>
      </c>
    </row>
    <row r="67" spans="1:6">
      <c r="A67" s="5">
        <v>65</v>
      </c>
      <c r="B67" s="7" t="s">
        <v>141</v>
      </c>
      <c r="C67" s="7" t="s">
        <v>60</v>
      </c>
      <c r="D67" s="7" t="s">
        <v>142</v>
      </c>
      <c r="E67" s="10">
        <v>45961</v>
      </c>
      <c r="F67" s="7" t="s">
        <v>3</v>
      </c>
    </row>
    <row r="68" spans="1:6">
      <c r="A68" s="5">
        <v>66</v>
      </c>
      <c r="B68" s="7" t="s">
        <v>170</v>
      </c>
      <c r="C68" s="7" t="s">
        <v>60</v>
      </c>
      <c r="D68" s="7" t="s">
        <v>142</v>
      </c>
      <c r="E68" s="10">
        <v>45936</v>
      </c>
      <c r="F68" s="7" t="s">
        <v>3</v>
      </c>
    </row>
    <row r="69" spans="1:6">
      <c r="A69" s="5">
        <v>67</v>
      </c>
      <c r="B69" s="7" t="s">
        <v>183</v>
      </c>
      <c r="C69" s="7" t="s">
        <v>60</v>
      </c>
      <c r="D69" s="7" t="s">
        <v>142</v>
      </c>
      <c r="E69" s="10">
        <v>45961</v>
      </c>
      <c r="F69" s="7" t="s">
        <v>3</v>
      </c>
    </row>
    <row r="70" spans="1:6">
      <c r="A70" s="5">
        <v>68</v>
      </c>
      <c r="B70" s="7" t="s">
        <v>168</v>
      </c>
      <c r="C70" s="7" t="s">
        <v>60</v>
      </c>
      <c r="D70" s="7" t="s">
        <v>127</v>
      </c>
      <c r="E70" s="10">
        <v>45961</v>
      </c>
      <c r="F70" s="7" t="s">
        <v>3</v>
      </c>
    </row>
    <row r="71" spans="1:6">
      <c r="A71" s="5">
        <v>69</v>
      </c>
      <c r="B71" s="7" t="s">
        <v>130</v>
      </c>
      <c r="C71" s="7" t="s">
        <v>60</v>
      </c>
      <c r="D71" s="7" t="s">
        <v>127</v>
      </c>
      <c r="E71" s="10">
        <v>45961</v>
      </c>
      <c r="F71" s="7" t="s">
        <v>3</v>
      </c>
    </row>
    <row r="72" spans="1:6">
      <c r="A72" s="5">
        <v>70</v>
      </c>
      <c r="B72" s="7" t="s">
        <v>126</v>
      </c>
      <c r="C72" s="7" t="s">
        <v>60</v>
      </c>
      <c r="D72" s="7" t="s">
        <v>127</v>
      </c>
      <c r="E72" s="10">
        <v>45961</v>
      </c>
      <c r="F72" s="7" t="s">
        <v>3</v>
      </c>
    </row>
    <row r="73" spans="1:6">
      <c r="B73" t="s">
        <v>107</v>
      </c>
      <c r="F73">
        <f>COUNTIF(F3:F72,"YES")</f>
        <v>51</v>
      </c>
    </row>
    <row r="74" spans="1:6">
      <c r="B74" t="s">
        <v>207</v>
      </c>
      <c r="F74" s="1">
        <f>F73/70</f>
        <v>0.72857142857142854</v>
      </c>
    </row>
  </sheetData>
  <sortState ref="A1:L72">
    <sortCondition ref="C1:C72"/>
    <sortCondition ref="D1:D72"/>
  </sortState>
  <mergeCells count="1">
    <mergeCell ref="E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>
      <selection activeCell="F4" sqref="F4"/>
    </sheetView>
  </sheetViews>
  <sheetFormatPr defaultRowHeight="14.5"/>
  <cols>
    <col min="2" max="2" width="12.58203125" bestFit="1" customWidth="1"/>
    <col min="3" max="3" width="9.1640625" bestFit="1" customWidth="1"/>
    <col min="4" max="4" width="10" bestFit="1" customWidth="1"/>
    <col min="5" max="5" width="11.08203125" bestFit="1" customWidth="1"/>
  </cols>
  <sheetData>
    <row r="1" spans="1:6" ht="15.5">
      <c r="A1" s="18" t="s">
        <v>215</v>
      </c>
      <c r="B1" s="3" t="s">
        <v>196</v>
      </c>
      <c r="C1" s="3" t="s">
        <v>195</v>
      </c>
      <c r="D1" s="4" t="s">
        <v>108</v>
      </c>
      <c r="E1" s="44" t="s">
        <v>197</v>
      </c>
      <c r="F1" s="45"/>
    </row>
    <row r="2" spans="1:6" ht="15.5">
      <c r="A2" s="18"/>
      <c r="B2" s="3"/>
      <c r="C2" s="3"/>
      <c r="D2" s="4"/>
      <c r="E2" s="4" t="s">
        <v>198</v>
      </c>
      <c r="F2" s="4" t="s">
        <v>249</v>
      </c>
    </row>
    <row r="3" spans="1:6">
      <c r="A3" s="18">
        <v>1</v>
      </c>
      <c r="B3" s="18" t="s">
        <v>239</v>
      </c>
      <c r="C3" t="s">
        <v>60</v>
      </c>
      <c r="D3" t="s">
        <v>142</v>
      </c>
      <c r="F3" t="s">
        <v>3</v>
      </c>
    </row>
    <row r="4" spans="1:6">
      <c r="A4" s="18">
        <v>2</v>
      </c>
      <c r="B4" s="18" t="s">
        <v>110</v>
      </c>
      <c r="C4" t="s">
        <v>60</v>
      </c>
      <c r="D4" t="s">
        <v>240</v>
      </c>
      <c r="F4" t="s">
        <v>3</v>
      </c>
    </row>
    <row r="5" spans="1:6">
      <c r="A5" s="18">
        <v>3</v>
      </c>
      <c r="B5" s="18" t="s">
        <v>241</v>
      </c>
      <c r="C5" t="s">
        <v>59</v>
      </c>
      <c r="D5" t="s">
        <v>147</v>
      </c>
      <c r="F5" t="s">
        <v>0</v>
      </c>
    </row>
  </sheetData>
  <mergeCells count="1">
    <mergeCell ref="E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TOTAL STATION</vt:lpstr>
      <vt:lpstr>WEBMONITOR_METEO</vt:lpstr>
      <vt:lpstr>AWS_LIGHTINING</vt:lpstr>
      <vt:lpstr>AWS_SOFF</vt:lpstr>
      <vt:lpstr>AWS_LSI_X&amp;EVOL_METEO</vt:lpstr>
      <vt:lpstr>ARG</vt:lpstr>
      <vt:lpstr>AWS_LSA_ElOG_METEO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2020-01-28T08:21:00Z</dcterms:created>
  <dcterms:modified xsi:type="dcterms:W3CDTF">2025-11-24T10:35:27Z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1033-12.2.0.20326</vt:lpwstr>
  </property>
  <property fmtid="{D5CDD505-2E9C-101B-9397-08002B2CF9AE}" pid="3" name="ICV">
    <vt:lpwstr>1142D7375C2F4BC6B0BA43EB40BED5A4</vt:lpwstr>
  </property>
</Properties>
</file>