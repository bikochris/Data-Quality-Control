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ADocuments\web\Reporting status\September\"/>
    </mc:Choice>
  </mc:AlternateContent>
  <bookViews>
    <workbookView xWindow="-110" yWindow="-110" windowWidth="19420" windowHeight="11620"/>
  </bookViews>
  <sheets>
    <sheet name="TOTAL STATION" sheetId="17" r:id="rId1"/>
    <sheet name="WEBMONITOR_METEO" sheetId="12" r:id="rId2"/>
    <sheet name="AWS_LIGHTINING" sheetId="10" r:id="rId3"/>
    <sheet name="AWS_SOFF" sheetId="16" r:id="rId4"/>
    <sheet name="AWS_LSI_X&amp;EVOL_METEO" sheetId="8" r:id="rId5"/>
    <sheet name="ARG" sheetId="7" r:id="rId6"/>
    <sheet name="AWS_LSA_ElOG_METEO" sheetId="13" r:id="rId7"/>
  </sheets>
  <definedNames>
    <definedName name="_xlnm._FilterDatabase" localSheetId="5" hidden="1">ARG!$F$1:$F$74</definedName>
    <definedName name="_xlnm._FilterDatabase" localSheetId="2" hidden="1">AWS_LIGHTINING!$F$1:$F$12</definedName>
    <definedName name="_xlnm._FilterDatabase" localSheetId="4" hidden="1">'AWS_LSI_X&amp;EVOL_METEO'!$F$2:$F$21</definedName>
    <definedName name="_xlnm._FilterDatabase" localSheetId="1" hidden="1">WEBMONITOR_METEO!$B$3:$B$48</definedName>
  </definedNames>
  <calcPr calcId="162913"/>
</workbook>
</file>

<file path=xl/calcChain.xml><?xml version="1.0" encoding="utf-8"?>
<calcChain xmlns="http://schemas.openxmlformats.org/spreadsheetml/2006/main">
  <c r="B10" i="17" l="1"/>
  <c r="C10" i="17"/>
  <c r="D10" i="17" s="1"/>
  <c r="D5" i="17"/>
  <c r="D6" i="17"/>
  <c r="D7" i="17"/>
  <c r="D8" i="17"/>
  <c r="D9" i="17"/>
  <c r="D4" i="17"/>
  <c r="AM7" i="12"/>
  <c r="AM8" i="12"/>
  <c r="AM9" i="12"/>
  <c r="AM10" i="12"/>
  <c r="AM11" i="12"/>
  <c r="AM12" i="12"/>
  <c r="AM13" i="12"/>
  <c r="AM14" i="12"/>
  <c r="AM15" i="12"/>
  <c r="AM16" i="12"/>
  <c r="AM17" i="12"/>
  <c r="AM18" i="12"/>
  <c r="AM19" i="12"/>
  <c r="AM20" i="12"/>
  <c r="AM21" i="12"/>
  <c r="AM22" i="12"/>
  <c r="AM23" i="12"/>
  <c r="AM24" i="12"/>
  <c r="AM25" i="12"/>
  <c r="AM26" i="12"/>
  <c r="AM27" i="12"/>
  <c r="AM28" i="12"/>
  <c r="AM29" i="12"/>
  <c r="AM30" i="12"/>
  <c r="AM31" i="12"/>
  <c r="AM32" i="12"/>
  <c r="AM33" i="12"/>
  <c r="AM34" i="12"/>
  <c r="AM35" i="12"/>
  <c r="AM36" i="12"/>
  <c r="AM37" i="12"/>
  <c r="AM38" i="12"/>
  <c r="AM39" i="12"/>
  <c r="AM40" i="12"/>
  <c r="AM41" i="12"/>
  <c r="AM42" i="12"/>
  <c r="AM43" i="12"/>
  <c r="AM44" i="12"/>
  <c r="AM45" i="12"/>
  <c r="AM46" i="12"/>
  <c r="AM47" i="12"/>
  <c r="AM48" i="12"/>
  <c r="AM49" i="12"/>
  <c r="AM50" i="12"/>
  <c r="AO7" i="12"/>
  <c r="AO8" i="12"/>
  <c r="AO9" i="12"/>
  <c r="AO10" i="12"/>
  <c r="AO11" i="12"/>
  <c r="AO12" i="12"/>
  <c r="AO13" i="12"/>
  <c r="AO14" i="12"/>
  <c r="AO15" i="12"/>
  <c r="AO16" i="12"/>
  <c r="AO17" i="12"/>
  <c r="AO18" i="12"/>
  <c r="AO19" i="12"/>
  <c r="AO20" i="12"/>
  <c r="AO21" i="12"/>
  <c r="AO22" i="12"/>
  <c r="AO23" i="12"/>
  <c r="AO24" i="12"/>
  <c r="AO25" i="12"/>
  <c r="AO26" i="12"/>
  <c r="AO27" i="12"/>
  <c r="AO28" i="12"/>
  <c r="AO29" i="12"/>
  <c r="AO30" i="12"/>
  <c r="AO31" i="12"/>
  <c r="AO32" i="12"/>
  <c r="AO33" i="12"/>
  <c r="AO34" i="12"/>
  <c r="AO35" i="12"/>
  <c r="AO36" i="12"/>
  <c r="AO37" i="12"/>
  <c r="AO38" i="12"/>
  <c r="AO39" i="12"/>
  <c r="AO40" i="12"/>
  <c r="AO41" i="12"/>
  <c r="AO42" i="12"/>
  <c r="AO43" i="12"/>
  <c r="AO44" i="12"/>
  <c r="AO45" i="12"/>
  <c r="AO46" i="12"/>
  <c r="AO47" i="12"/>
  <c r="AO48" i="12"/>
  <c r="AO49" i="12"/>
  <c r="AO50" i="12"/>
  <c r="AN50" i="12"/>
  <c r="AN7" i="12" l="1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20" i="12"/>
  <c r="AL21" i="12"/>
  <c r="AL22" i="12"/>
  <c r="AL23" i="12"/>
  <c r="AL24" i="12"/>
  <c r="AL25" i="12"/>
  <c r="AL26" i="12"/>
  <c r="AL27" i="12"/>
  <c r="AL28" i="12"/>
  <c r="AL29" i="12"/>
  <c r="AL30" i="12"/>
  <c r="AL31" i="12"/>
  <c r="AL32" i="12"/>
  <c r="AL33" i="12"/>
  <c r="AL34" i="12"/>
  <c r="AL35" i="12"/>
  <c r="AL36" i="12"/>
  <c r="AL37" i="12"/>
  <c r="AL38" i="12"/>
  <c r="AL39" i="12"/>
  <c r="AL40" i="12"/>
  <c r="AL41" i="12"/>
  <c r="AL42" i="12"/>
  <c r="AL43" i="12"/>
  <c r="AL44" i="12"/>
  <c r="AL45" i="12"/>
  <c r="AL46" i="12"/>
  <c r="AL47" i="12"/>
  <c r="AL48" i="12"/>
  <c r="AL49" i="12"/>
  <c r="AL6" i="12"/>
  <c r="AM6" i="12" s="1"/>
  <c r="AN6" i="12"/>
  <c r="AO6" i="12" l="1"/>
  <c r="AJ5" i="12" l="1"/>
  <c r="AI5" i="12"/>
  <c r="AI3" i="12" l="1"/>
  <c r="AJ3" i="12"/>
  <c r="AG5" i="12"/>
  <c r="AF5" i="12"/>
  <c r="AG3" i="12" l="1"/>
  <c r="AF3" i="12"/>
  <c r="AD5" i="12"/>
  <c r="AC5" i="12"/>
  <c r="AC3" i="12" l="1"/>
  <c r="AD3" i="12"/>
  <c r="AA5" i="12"/>
  <c r="Z5" i="12"/>
  <c r="AA3" i="12" l="1"/>
  <c r="Z3" i="12"/>
  <c r="X5" i="12"/>
  <c r="W5" i="12"/>
  <c r="X3" i="12" l="1"/>
  <c r="W3" i="12"/>
  <c r="U5" i="12"/>
  <c r="T5" i="12"/>
  <c r="T3" i="12" l="1"/>
  <c r="U3" i="12"/>
  <c r="R5" i="12"/>
  <c r="Q5" i="12"/>
  <c r="O5" i="12"/>
  <c r="N5" i="12"/>
  <c r="O3" i="12"/>
  <c r="N3" i="12"/>
  <c r="R3" i="12" l="1"/>
  <c r="Q3" i="12"/>
  <c r="L5" i="12"/>
  <c r="K5" i="12"/>
  <c r="K3" i="12" l="1"/>
  <c r="L3" i="12"/>
  <c r="H5" i="12"/>
  <c r="I5" i="12"/>
  <c r="I3" i="12" l="1"/>
  <c r="H3" i="12"/>
  <c r="F5" i="12" l="1"/>
  <c r="E5" i="12"/>
  <c r="E3" i="12" l="1"/>
  <c r="F3" i="12"/>
  <c r="F73" i="7" l="1"/>
  <c r="F74" i="7" s="1"/>
  <c r="G10" i="8"/>
  <c r="G11" i="8" s="1"/>
  <c r="F10" i="8"/>
  <c r="F11" i="8" s="1"/>
  <c r="F11" i="10" l="1"/>
  <c r="F12" i="10" s="1"/>
</calcChain>
</file>

<file path=xl/sharedStrings.xml><?xml version="1.0" encoding="utf-8"?>
<sst xmlns="http://schemas.openxmlformats.org/spreadsheetml/2006/main" count="1025" uniqueCount="278">
  <si>
    <t>NO</t>
  </si>
  <si>
    <t>GITEGA</t>
  </si>
  <si>
    <t>Nyarugenge</t>
  </si>
  <si>
    <t>YES</t>
  </si>
  <si>
    <t>Rwamagana</t>
  </si>
  <si>
    <t>Gatsibo</t>
  </si>
  <si>
    <t>STATION</t>
  </si>
  <si>
    <t>DISTRICT</t>
  </si>
  <si>
    <t>AKAGERA NYUNGWE</t>
  </si>
  <si>
    <t xml:space="preserve">Nyagatare
</t>
  </si>
  <si>
    <t>AKAGERA RWISIRABO</t>
  </si>
  <si>
    <t xml:space="preserve">Kayonza
</t>
  </si>
  <si>
    <t>Bakokwe</t>
  </si>
  <si>
    <t xml:space="preserve">Muhanga
</t>
  </si>
  <si>
    <t>Bungwe</t>
  </si>
  <si>
    <t xml:space="preserve">Burera
</t>
  </si>
  <si>
    <t>Butare</t>
  </si>
  <si>
    <t>Huye</t>
  </si>
  <si>
    <t>Bweyeye</t>
  </si>
  <si>
    <t xml:space="preserve">Rusizi
</t>
  </si>
  <si>
    <t>Bwisige</t>
  </si>
  <si>
    <t>Byimana</t>
  </si>
  <si>
    <t>Ruhango</t>
  </si>
  <si>
    <t>Cyeru</t>
  </si>
  <si>
    <t>Gabiro</t>
  </si>
  <si>
    <t>Gacurabwenge</t>
  </si>
  <si>
    <t>Kamonyi</t>
  </si>
  <si>
    <t>Kicukiro</t>
  </si>
  <si>
    <t>Gihinga</t>
  </si>
  <si>
    <t xml:space="preserve">Bugesera
</t>
  </si>
  <si>
    <t>GIKOMERO</t>
  </si>
  <si>
    <t xml:space="preserve">Gasabo
</t>
  </si>
  <si>
    <t>Gikongoro</t>
  </si>
  <si>
    <t xml:space="preserve">Nyamagabe
</t>
  </si>
  <si>
    <t>Gishyita</t>
  </si>
  <si>
    <t xml:space="preserve">Karongi
</t>
  </si>
  <si>
    <t>Kabarore</t>
  </si>
  <si>
    <t>Kaduha</t>
  </si>
  <si>
    <t>Kamembe</t>
  </si>
  <si>
    <t>Kavumu</t>
  </si>
  <si>
    <t xml:space="preserve">Ngororero
</t>
  </si>
  <si>
    <t>Kawangire</t>
  </si>
  <si>
    <t>Ngoma</t>
  </si>
  <si>
    <t>Kenjobe</t>
  </si>
  <si>
    <t>Kirehe</t>
  </si>
  <si>
    <t xml:space="preserve">Kirehe
</t>
  </si>
  <si>
    <t>Mahama</t>
  </si>
  <si>
    <t>Mamba</t>
  </si>
  <si>
    <t xml:space="preserve">Gisagara
</t>
  </si>
  <si>
    <t>MATIMBA</t>
  </si>
  <si>
    <t>Mayange</t>
  </si>
  <si>
    <t>Mukarange</t>
  </si>
  <si>
    <t>Nasho_Mpanga</t>
  </si>
  <si>
    <t>Ndego</t>
  </si>
  <si>
    <t>Ngororero</t>
  </si>
  <si>
    <t>Ntaruka</t>
  </si>
  <si>
    <t>Nyabimata</t>
  </si>
  <si>
    <t xml:space="preserve">Nyaruguru
</t>
  </si>
  <si>
    <t>NYABITIMBO</t>
  </si>
  <si>
    <t>Nyagatare</t>
  </si>
  <si>
    <t>Nyirangarama</t>
  </si>
  <si>
    <t>Rulindo</t>
  </si>
  <si>
    <t>Rubona</t>
  </si>
  <si>
    <t>Rusasa</t>
  </si>
  <si>
    <t xml:space="preserve">Gakenke
</t>
  </si>
  <si>
    <t>RUSUMO POWER PLANT</t>
  </si>
  <si>
    <t>Rweru</t>
  </si>
  <si>
    <t>Tamira</t>
  </si>
  <si>
    <t xml:space="preserve">Rubavu
</t>
  </si>
  <si>
    <t>Wisumo</t>
  </si>
  <si>
    <t xml:space="preserve">Nyamasheke
</t>
  </si>
  <si>
    <t>Zaza</t>
  </si>
  <si>
    <t>Cyanika Border Market</t>
  </si>
  <si>
    <t>Comment</t>
  </si>
  <si>
    <t>Cyumba</t>
  </si>
  <si>
    <t>PROVINCE</t>
  </si>
  <si>
    <t>SOUTH</t>
  </si>
  <si>
    <t>WEST</t>
  </si>
  <si>
    <t>NORTH</t>
  </si>
  <si>
    <t>EAST</t>
  </si>
  <si>
    <t>KIGALI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</si>
  <si>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</si>
  <si>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</si>
  <si>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</si>
  <si>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</si>
  <si>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</si>
  <si>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</si>
  <si>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</si>
  <si>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</si>
  <si>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</si>
  <si>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</si>
  <si>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</si>
  <si>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</si>
  <si>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</si>
  <si>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</si>
  <si>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</si>
  <si>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</si>
  <si>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</si>
  <si>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</si>
  <si>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</si>
  <si>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</si>
  <si>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</si>
  <si>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</si>
  <si>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</si>
  <si>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</si>
  <si>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</si>
  <si>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</si>
  <si>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</si>
  <si>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</si>
  <si>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</si>
  <si>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</si>
  <si>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</si>
  <si>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</si>
  <si>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</si>
  <si>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</si>
  <si>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</si>
  <si>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</si>
  <si>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</si>
  <si>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</si>
  <si>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</si>
  <si>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</si>
  <si>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</si>
  <si>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</si>
  <si>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</si>
  <si>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REPORTING</t>
  </si>
  <si>
    <t>District</t>
  </si>
  <si>
    <t>Shangi Parish</t>
  </si>
  <si>
    <t>Nyamasheke</t>
  </si>
  <si>
    <t>Busasamana</t>
  </si>
  <si>
    <t>Rubavu</t>
  </si>
  <si>
    <t>Gisagara (District)</t>
  </si>
  <si>
    <t>Gisagara</t>
  </si>
  <si>
    <t>Rwimbogo</t>
  </si>
  <si>
    <t>Kinihira</t>
  </si>
  <si>
    <t>Kanzenze</t>
  </si>
  <si>
    <t>Cyinzuzi</t>
  </si>
  <si>
    <t>Bwishyura</t>
  </si>
  <si>
    <t>Karongi</t>
  </si>
  <si>
    <t>Rukozo</t>
  </si>
  <si>
    <t>Tumba</t>
  </si>
  <si>
    <t>Nzige</t>
  </si>
  <si>
    <t>Gahanga</t>
  </si>
  <si>
    <t>Mukindo</t>
  </si>
  <si>
    <t>Mushubati</t>
  </si>
  <si>
    <t>Rutsiro</t>
  </si>
  <si>
    <t>Ntyazo</t>
  </si>
  <si>
    <t>Nyanza</t>
  </si>
  <si>
    <t>Kivumu (Sector)</t>
  </si>
  <si>
    <t>Murundi East</t>
  </si>
  <si>
    <t>Kayonza</t>
  </si>
  <si>
    <t>Kigali Sector</t>
  </si>
  <si>
    <t>Karama / Huye</t>
  </si>
  <si>
    <t>Masaka</t>
  </si>
  <si>
    <t>Rugera</t>
  </si>
  <si>
    <t>Nyabihu</t>
  </si>
  <si>
    <t>Mutenderi</t>
  </si>
  <si>
    <t>Kitabi</t>
  </si>
  <si>
    <t>Nyamagabe</t>
  </si>
  <si>
    <t>Shagasha</t>
  </si>
  <si>
    <t>Rusizi</t>
  </si>
  <si>
    <t>Kiziguro</t>
  </si>
  <si>
    <t>Musha</t>
  </si>
  <si>
    <t>Muyira</t>
  </si>
  <si>
    <t>Kivumu Parish</t>
  </si>
  <si>
    <t>Muhanga</t>
  </si>
  <si>
    <t>Gakenke</t>
  </si>
  <si>
    <t>Cyabingo</t>
  </si>
  <si>
    <t>Rugerero</t>
  </si>
  <si>
    <t>Rwempesha</t>
  </si>
  <si>
    <t>Sake</t>
  </si>
  <si>
    <t>Nyange</t>
  </si>
  <si>
    <t>Musanze</t>
  </si>
  <si>
    <t>Muganza Parish</t>
  </si>
  <si>
    <t>Nyaruguru</t>
  </si>
  <si>
    <t>Rugunga</t>
  </si>
  <si>
    <t>Mwiri</t>
  </si>
  <si>
    <t>Gahara</t>
  </si>
  <si>
    <t>Tare</t>
  </si>
  <si>
    <t>Musaza</t>
  </si>
  <si>
    <t>Nyamugali</t>
  </si>
  <si>
    <t>kirehe</t>
  </si>
  <si>
    <t>Gicumbi</t>
  </si>
  <si>
    <t>Mwendo</t>
  </si>
  <si>
    <t>Jali</t>
  </si>
  <si>
    <t>Gasabo</t>
  </si>
  <si>
    <t>Ruhango Sector</t>
  </si>
  <si>
    <t>Cyahinda</t>
  </si>
  <si>
    <t>Nkanka</t>
  </si>
  <si>
    <t>Kibeho</t>
  </si>
  <si>
    <t>Rubirizi</t>
  </si>
  <si>
    <t>Save</t>
  </si>
  <si>
    <t>Ngera</t>
  </si>
  <si>
    <t>Gakenke District</t>
  </si>
  <si>
    <t>Ruhango South</t>
  </si>
  <si>
    <t>Kabarondo</t>
  </si>
  <si>
    <t>Rusatira</t>
  </si>
  <si>
    <t>Kabaya</t>
  </si>
  <si>
    <t>Cyanzarwe</t>
  </si>
  <si>
    <t>Murundi West</t>
  </si>
  <si>
    <t>Murambi</t>
  </si>
  <si>
    <t>Nyakarenzo</t>
  </si>
  <si>
    <t>Simbi</t>
  </si>
  <si>
    <t>Bweramana</t>
  </si>
  <si>
    <t>Nyarubuye Parish</t>
  </si>
  <si>
    <t>Gahini</t>
  </si>
  <si>
    <t>Kagitumba</t>
  </si>
  <si>
    <t>Kinoni</t>
  </si>
  <si>
    <t>Burera</t>
  </si>
  <si>
    <t>Minazi</t>
  </si>
  <si>
    <t>Rusiga</t>
  </si>
  <si>
    <t>Murama</t>
  </si>
  <si>
    <t>Gasange</t>
  </si>
  <si>
    <t>Province</t>
  </si>
  <si>
    <t>Station Name</t>
  </si>
  <si>
    <t>REPORTING STATUS</t>
  </si>
  <si>
    <t>LAST COMM</t>
  </si>
  <si>
    <t xml:space="preserve"> Kayenzi</t>
  </si>
  <si>
    <t xml:space="preserve">Kamonyi </t>
  </si>
  <si>
    <t>Munini</t>
  </si>
  <si>
    <t>Rwankuba</t>
  </si>
  <si>
    <t xml:space="preserve">Karongi </t>
  </si>
  <si>
    <t>Muhororo</t>
  </si>
  <si>
    <t xml:space="preserve"> Muringa</t>
  </si>
  <si>
    <t>Ruhuha</t>
  </si>
  <si>
    <t>Bugesera</t>
  </si>
  <si>
    <t>No data</t>
  </si>
  <si>
    <t>BYUMBA</t>
  </si>
  <si>
    <t>GICUMBI</t>
  </si>
  <si>
    <t>RUHENGERI</t>
  </si>
  <si>
    <t>MUSANZE</t>
  </si>
  <si>
    <t>R.PERCENTAGE</t>
  </si>
  <si>
    <t>KIGALI_Airport</t>
  </si>
  <si>
    <t>Rushashi</t>
  </si>
  <si>
    <t>Muganza</t>
  </si>
  <si>
    <t>kinigi</t>
  </si>
  <si>
    <t>KICUKIRO</t>
  </si>
  <si>
    <t>AUGUST</t>
  </si>
  <si>
    <t>END OF AUGUST</t>
  </si>
  <si>
    <t>No.</t>
  </si>
  <si>
    <t>STATION NAME</t>
  </si>
  <si>
    <t>Kazo</t>
  </si>
  <si>
    <t>Rubengera</t>
  </si>
  <si>
    <t>Station Type</t>
  </si>
  <si>
    <t>Number</t>
  </si>
  <si>
    <t>Server</t>
  </si>
  <si>
    <t xml:space="preserve">Repository folder </t>
  </si>
  <si>
    <t>AWS Web monitor</t>
  </si>
  <si>
    <t>Web Monitor</t>
  </si>
  <si>
    <t>C:\NESA\files\Climat File</t>
  </si>
  <si>
    <t>AWS_SOFF</t>
  </si>
  <si>
    <t>C:\Campbellsci\LoggerNet</t>
  </si>
  <si>
    <t>AWS_Lightening</t>
  </si>
  <si>
    <t>C:\NESA\files</t>
  </si>
  <si>
    <t>ARG</t>
  </si>
  <si>
    <t>LSA</t>
  </si>
  <si>
    <t>C:\DATA</t>
  </si>
  <si>
    <t>C:\DATA\XLOG</t>
  </si>
  <si>
    <t>ATS</t>
  </si>
  <si>
    <t>AWS-LSI_X&amp;Evolution METEO</t>
  </si>
  <si>
    <t>AWS-ELOG_METEO</t>
  </si>
  <si>
    <t>TOTAL</t>
  </si>
  <si>
    <t>1. MAINTAINED BY METEO RWANDA</t>
  </si>
  <si>
    <t>Bugarama</t>
  </si>
  <si>
    <t>Nyamsheke</t>
  </si>
  <si>
    <t>Nyamabuye</t>
  </si>
  <si>
    <t>Bugarura</t>
  </si>
  <si>
    <t>West</t>
  </si>
  <si>
    <t>Server Down</t>
  </si>
  <si>
    <t>09/17/2025</t>
  </si>
  <si>
    <t>09/18/2025</t>
  </si>
  <si>
    <t>09/19/2025</t>
  </si>
  <si>
    <t>NON_REPORTING</t>
  </si>
  <si>
    <t>Days</t>
  </si>
  <si>
    <t>Percent</t>
  </si>
  <si>
    <t>REPORTED</t>
  </si>
  <si>
    <t>PERCENT</t>
  </si>
  <si>
    <t>SEPTEMBER</t>
  </si>
  <si>
    <t>Kanjongo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</si>
</sst>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F800]dddd\,\ mmmm\ dd\,\ yyyy"/>
  </numFmts>
  <fonts count="10">
    <font>
      <sz val="10"/>
      <color theme="1"/>
      <name val="微软雅黑"/>
      <charset val="134"/>
    </font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微软雅黑"/>
      <charset val="134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微软雅黑"/>
      <charset val="134"/>
    </font>
    <font>
      <sz val="12"/>
      <color theme="1"/>
      <name val="Times New Roman"/>
      <family val="1"/>
    </font>
    <font>
      <sz val="10"/>
      <name val="微软雅黑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9B95C"/>
        <bgColor indexed="64"/>
      </patternFill>
    </fill>
    <fill>
      <patternFill patternType="solid">
        <fgColor rgb="FFFFFFCC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9" fontId="4" fillId="0" borderId="0" applyFont="0" applyFill="0" applyBorder="0" applyAlignment="0" applyProtection="0"/>
    <xf numFmtId="0" fontId="1" fillId="0" borderId="0"/>
    <xf numFmtId="0" fontId="1" fillId="5" borderId="7" applyNumberFormat="0" applyFont="0" applyAlignment="0" applyProtection="0"/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9" fontId="0" fillId="0" borderId="0" xfId="1" applyFont="1" applyAlignment="1">
      <alignment vertical="center"/>
    </xf>
    <xf numFmtId="0" fontId="0" fillId="0" borderId="0" xfId="0" applyFill="1">
      <alignment vertical="center"/>
    </xf>
    <xf numFmtId="49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49" fontId="0" fillId="0" borderId="0" xfId="0" applyNumberFormat="1" applyFill="1">
      <alignment vertical="center"/>
    </xf>
    <xf numFmtId="16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6" fillId="0" borderId="1" xfId="0" applyFont="1" applyBorder="1" applyAlignment="1">
      <alignment horizontal="right"/>
    </xf>
    <xf numFmtId="0" fontId="0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0" borderId="1" xfId="0" applyFont="1" applyBorder="1" applyAlignment="1">
      <alignment horizontal="left" vertical="top"/>
    </xf>
    <xf numFmtId="16" fontId="6" fillId="0" borderId="1" xfId="0" applyNumberFormat="1" applyFont="1" applyBorder="1" applyAlignment="1">
      <alignment horizontal="left"/>
    </xf>
    <xf numFmtId="16" fontId="6" fillId="0" borderId="1" xfId="0" applyNumberFormat="1" applyFont="1" applyFill="1" applyBorder="1" applyAlignment="1">
      <alignment horizontal="left"/>
    </xf>
    <xf numFmtId="16" fontId="0" fillId="0" borderId="0" xfId="0" applyNumberFormat="1">
      <alignment vertical="center"/>
    </xf>
    <xf numFmtId="14" fontId="0" fillId="0" borderId="0" xfId="0" applyNumberFormat="1">
      <alignment vertical="center"/>
    </xf>
    <xf numFmtId="165" fontId="0" fillId="0" borderId="0" xfId="0" applyNumberFormat="1">
      <alignment vertical="center"/>
    </xf>
    <xf numFmtId="14" fontId="6" fillId="0" borderId="1" xfId="0" applyNumberFormat="1" applyFont="1" applyBorder="1" applyAlignment="1">
      <alignment horizontal="left"/>
    </xf>
    <xf numFmtId="0" fontId="0" fillId="0" borderId="0" xfId="0" applyAlignment="1"/>
    <xf numFmtId="0" fontId="7" fillId="0" borderId="0" xfId="0" applyFont="1">
      <alignment vertical="center"/>
    </xf>
    <xf numFmtId="14" fontId="3" fillId="0" borderId="0" xfId="0" applyNumberFormat="1" applyFont="1" applyAlignment="1">
      <alignment horizontal="center" vertical="center"/>
    </xf>
    <xf numFmtId="0" fontId="1" fillId="0" borderId="0" xfId="2"/>
    <xf numFmtId="0" fontId="8" fillId="0" borderId="1" xfId="0" applyFont="1" applyBorder="1" applyAlignment="1">
      <alignment horizontal="justify" vertical="center" wrapText="1"/>
    </xf>
    <xf numFmtId="0" fontId="3" fillId="0" borderId="1" xfId="0" applyFont="1" applyBorder="1" applyAlignment="1">
      <alignment horizontal="justify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0" fillId="8" borderId="0" xfId="0" applyFill="1">
      <alignment vertical="center"/>
    </xf>
    <xf numFmtId="164" fontId="8" fillId="0" borderId="1" xfId="0" applyNumberFormat="1" applyFont="1" applyBorder="1" applyAlignment="1">
      <alignment horizontal="justify" vertical="center" wrapText="1"/>
    </xf>
    <xf numFmtId="0" fontId="8" fillId="0" borderId="9" xfId="0" applyFont="1" applyBorder="1" applyAlignment="1">
      <alignment horizontal="justify" vertical="center" wrapText="1"/>
    </xf>
    <xf numFmtId="0" fontId="3" fillId="0" borderId="8" xfId="0" applyFont="1" applyBorder="1" applyAlignment="1">
      <alignment horizontal="justify" vertical="center" wrapText="1"/>
    </xf>
    <xf numFmtId="0" fontId="3" fillId="0" borderId="9" xfId="0" applyFont="1" applyBorder="1" applyAlignment="1">
      <alignment horizontal="justify" vertical="center" wrapText="1"/>
    </xf>
    <xf numFmtId="164" fontId="3" fillId="0" borderId="1" xfId="0" applyNumberFormat="1" applyFont="1" applyBorder="1" applyAlignment="1">
      <alignment horizontal="justify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</cellXfs>
  <cellStyles count="4">
    <cellStyle name="Normal" xfId="0" builtinId="0"/>
    <cellStyle name="Normal 2" xfId="2"/>
    <cellStyle name="Note 2" xfId="3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tabSelected="1" workbookViewId="0">
      <selection activeCell="B14" sqref="B14"/>
    </sheetView>
  </sheetViews>
  <sheetFormatPr defaultRowHeight="14.5"/>
  <cols>
    <col min="1" max="1" width="29.6640625" customWidth="1"/>
    <col min="2" max="4" width="14.5" customWidth="1"/>
    <col min="5" max="5" width="14.6640625" customWidth="1"/>
    <col min="6" max="6" width="24.5" customWidth="1"/>
  </cols>
  <sheetData>
    <row r="1" spans="1:6" ht="15">
      <c r="A1" s="29" t="s">
        <v>242</v>
      </c>
      <c r="B1" s="29" t="s">
        <v>243</v>
      </c>
      <c r="C1" s="29" t="s">
        <v>274</v>
      </c>
      <c r="D1" s="29" t="s">
        <v>275</v>
      </c>
      <c r="E1" s="29" t="s">
        <v>244</v>
      </c>
      <c r="F1" s="29" t="s">
        <v>245</v>
      </c>
    </row>
    <row r="2" spans="1:6" ht="15">
      <c r="A2" s="41" t="s">
        <v>261</v>
      </c>
      <c r="B2" s="41"/>
      <c r="C2" s="41"/>
      <c r="D2" s="41"/>
      <c r="E2" s="41"/>
      <c r="F2" s="41"/>
    </row>
    <row r="3" spans="1:6" ht="15">
      <c r="A3" s="34"/>
      <c r="B3" s="34"/>
      <c r="C3" s="34"/>
      <c r="D3" s="34"/>
      <c r="E3" s="34"/>
      <c r="F3" s="34"/>
    </row>
    <row r="4" spans="1:6" ht="15.5">
      <c r="A4" s="28" t="s">
        <v>246</v>
      </c>
      <c r="B4" s="28">
        <v>44</v>
      </c>
      <c r="C4" s="28">
        <v>41</v>
      </c>
      <c r="D4" s="36">
        <f>C4/B4</f>
        <v>0.93181818181818177</v>
      </c>
      <c r="E4" s="28" t="s">
        <v>257</v>
      </c>
      <c r="F4" s="28" t="s">
        <v>248</v>
      </c>
    </row>
    <row r="5" spans="1:6" ht="15.5">
      <c r="A5" s="28" t="s">
        <v>249</v>
      </c>
      <c r="B5" s="28">
        <v>3</v>
      </c>
      <c r="C5" s="28">
        <v>3</v>
      </c>
      <c r="D5" s="36">
        <f t="shared" ref="D5:D10" si="0">C5/B5</f>
        <v>1</v>
      </c>
      <c r="E5" s="28" t="s">
        <v>257</v>
      </c>
      <c r="F5" s="28" t="s">
        <v>250</v>
      </c>
    </row>
    <row r="6" spans="1:6" ht="15.5">
      <c r="A6" s="28" t="s">
        <v>251</v>
      </c>
      <c r="B6" s="28">
        <v>8</v>
      </c>
      <c r="C6" s="28">
        <v>4</v>
      </c>
      <c r="D6" s="36">
        <f t="shared" si="0"/>
        <v>0.5</v>
      </c>
      <c r="E6" s="28" t="s">
        <v>247</v>
      </c>
      <c r="F6" s="28" t="s">
        <v>252</v>
      </c>
    </row>
    <row r="7" spans="1:6" ht="15.5">
      <c r="A7" s="28" t="s">
        <v>253</v>
      </c>
      <c r="B7" s="28">
        <v>70</v>
      </c>
      <c r="C7" s="28">
        <v>41</v>
      </c>
      <c r="D7" s="36">
        <f t="shared" si="0"/>
        <v>0.58571428571428574</v>
      </c>
      <c r="E7" s="28" t="s">
        <v>254</v>
      </c>
      <c r="F7" s="28" t="s">
        <v>255</v>
      </c>
    </row>
    <row r="8" spans="1:6" ht="15.5">
      <c r="A8" s="28" t="s">
        <v>258</v>
      </c>
      <c r="B8" s="28">
        <v>6</v>
      </c>
      <c r="C8" s="28">
        <v>3</v>
      </c>
      <c r="D8" s="36">
        <f t="shared" si="0"/>
        <v>0.5</v>
      </c>
      <c r="E8" s="28" t="s">
        <v>254</v>
      </c>
      <c r="F8" s="28" t="s">
        <v>256</v>
      </c>
    </row>
    <row r="9" spans="1:6" ht="15.5">
      <c r="A9" s="28" t="s">
        <v>259</v>
      </c>
      <c r="B9" s="28">
        <v>3</v>
      </c>
      <c r="C9" s="28">
        <v>2</v>
      </c>
      <c r="D9" s="36">
        <f t="shared" si="0"/>
        <v>0.66666666666666663</v>
      </c>
      <c r="E9" s="28" t="s">
        <v>254</v>
      </c>
      <c r="F9" s="28" t="s">
        <v>255</v>
      </c>
    </row>
    <row r="10" spans="1:6" ht="15.5">
      <c r="A10" s="38" t="s">
        <v>260</v>
      </c>
      <c r="B10" s="39">
        <f>SUM(B4:B9)</f>
        <v>134</v>
      </c>
      <c r="C10" s="39">
        <f>SUM(C4:C9)</f>
        <v>94</v>
      </c>
      <c r="D10" s="40">
        <f t="shared" si="0"/>
        <v>0.70149253731343286</v>
      </c>
      <c r="E10" s="37"/>
      <c r="F10" s="37"/>
    </row>
  </sheetData>
  <mergeCells count="1">
    <mergeCell ref="A2:F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O50"/>
  <sheetViews>
    <sheetView workbookViewId="0">
      <pane xSplit="4" ySplit="5" topLeftCell="AI33" activePane="bottomRight" state="frozenSplit"/>
      <selection pane="topRight" activeCell="E1" sqref="E1"/>
      <selection pane="bottomLeft" activeCell="A6" sqref="A6"/>
      <selection pane="bottomRight" activeCell="AM51" sqref="AM51"/>
    </sheetView>
  </sheetViews>
  <sheetFormatPr defaultRowHeight="14.5"/>
  <cols>
    <col min="1" max="1" width="8.6640625" style="33"/>
    <col min="2" max="2" width="20.75" bestFit="1" customWidth="1"/>
    <col min="3" max="3" width="9.4140625" bestFit="1" customWidth="1"/>
    <col min="4" max="4" width="10.25" customWidth="1"/>
    <col min="5" max="5" width="9.9140625" bestFit="1" customWidth="1"/>
    <col min="8" max="8" width="9.9140625" bestFit="1" customWidth="1"/>
    <col min="11" max="11" width="9.9140625" bestFit="1" customWidth="1"/>
    <col min="14" max="14" width="9.9140625" bestFit="1" customWidth="1"/>
    <col min="17" max="17" width="9.9140625" bestFit="1" customWidth="1"/>
    <col min="20" max="20" width="9.9140625" bestFit="1" customWidth="1"/>
    <col min="23" max="23" width="9.9140625" bestFit="1" customWidth="1"/>
    <col min="26" max="26" width="9.9140625" bestFit="1" customWidth="1"/>
    <col min="29" max="29" width="9.9140625" bestFit="1" customWidth="1"/>
  </cols>
  <sheetData>
    <row r="3" spans="1:41">
      <c r="A3" s="32"/>
      <c r="B3" s="44" t="s">
        <v>6</v>
      </c>
      <c r="C3" s="44" t="s">
        <v>75</v>
      </c>
      <c r="D3" s="43" t="s">
        <v>7</v>
      </c>
      <c r="E3" s="4">
        <f>E5/(E5+F5)</f>
        <v>0.88372093023255816</v>
      </c>
      <c r="F3" s="4">
        <f>F5/(E5+F5)</f>
        <v>0.11627906976744186</v>
      </c>
      <c r="H3" s="4">
        <f>H5/(H5+I5)</f>
        <v>0.90909090909090906</v>
      </c>
      <c r="I3" s="4">
        <f>I5/(H5+I5)</f>
        <v>9.0909090909090912E-2</v>
      </c>
      <c r="K3" s="4">
        <f>K5/(K5+L5)</f>
        <v>0.88636363636363635</v>
      </c>
      <c r="L3" s="4">
        <f>L5/(K5+L5)</f>
        <v>0.11363636363636363</v>
      </c>
      <c r="N3" s="4" t="e">
        <f>N5/(N5+O5)</f>
        <v>#DIV/0!</v>
      </c>
      <c r="O3" s="4" t="e">
        <f>O5/(N5+O5)</f>
        <v>#DIV/0!</v>
      </c>
      <c r="Q3" s="4">
        <f>Q5/(Q5+R5)</f>
        <v>0.88636363636363635</v>
      </c>
      <c r="R3" s="4">
        <f>R5/(Q5+R5)</f>
        <v>0.11363636363636363</v>
      </c>
      <c r="T3" s="4">
        <f>T5/(T5+U5)</f>
        <v>0.88636363636363635</v>
      </c>
      <c r="U3" s="4">
        <f>U5/(T5+U5)</f>
        <v>0.11363636363636363</v>
      </c>
      <c r="W3" s="4">
        <f>W5/(W5+X5)</f>
        <v>0.88636363636363635</v>
      </c>
      <c r="X3" s="4">
        <f>X5/(W5+X5)</f>
        <v>0.11363636363636363</v>
      </c>
      <c r="Z3" s="4" t="e">
        <f>Z5/(Z5+AA5)</f>
        <v>#DIV/0!</v>
      </c>
      <c r="AA3" s="4" t="e">
        <f>AA5/(Z5+AA5)</f>
        <v>#DIV/0!</v>
      </c>
      <c r="AC3" s="4">
        <f>AC5/(AC5+AD5)</f>
        <v>0.90909090909090906</v>
      </c>
      <c r="AD3" s="4">
        <f>AD5/(AC5+AD5)</f>
        <v>9.0909090909090912E-2</v>
      </c>
      <c r="AF3" s="4">
        <f>AF5/(AF5+AG5)</f>
        <v>0.93181818181818177</v>
      </c>
      <c r="AG3" s="4">
        <f>AG5/(AF5+AG5)</f>
        <v>6.8181818181818177E-2</v>
      </c>
      <c r="AI3" s="4">
        <f>AI5/(AI5+AJ5)</f>
        <v>0.90909090909090906</v>
      </c>
      <c r="AJ3" s="4">
        <f>AJ5/(AI5+AJ5)</f>
        <v>9.0909090909090912E-2</v>
      </c>
    </row>
    <row r="4" spans="1:41" ht="15">
      <c r="A4" s="32"/>
      <c r="B4" s="44"/>
      <c r="C4" s="44"/>
      <c r="D4" s="43"/>
      <c r="E4" s="26">
        <v>45697</v>
      </c>
      <c r="F4" s="26"/>
      <c r="G4" s="26"/>
      <c r="H4" s="26">
        <v>45725</v>
      </c>
      <c r="I4" s="26"/>
      <c r="J4" s="26"/>
      <c r="K4" s="26">
        <v>45756</v>
      </c>
      <c r="L4" s="26"/>
      <c r="M4" s="26"/>
      <c r="N4" s="26">
        <v>45786</v>
      </c>
      <c r="O4" s="26"/>
      <c r="P4" s="26"/>
      <c r="Q4" s="26">
        <v>45817</v>
      </c>
      <c r="R4" s="26"/>
      <c r="S4" s="26"/>
      <c r="T4" s="26">
        <v>45847</v>
      </c>
      <c r="U4" s="26"/>
      <c r="V4" s="26"/>
      <c r="W4" s="26">
        <v>45878</v>
      </c>
      <c r="X4" s="26"/>
      <c r="Y4" s="26"/>
      <c r="Z4" s="26">
        <v>45909</v>
      </c>
      <c r="AA4" s="26"/>
      <c r="AB4" s="26"/>
      <c r="AC4" s="26" t="s">
        <v>268</v>
      </c>
      <c r="AD4" s="26"/>
      <c r="AE4" s="26"/>
      <c r="AF4" s="26" t="s">
        <v>269</v>
      </c>
      <c r="AG4" s="26"/>
      <c r="AH4" s="26"/>
      <c r="AI4" s="26" t="s">
        <v>270</v>
      </c>
      <c r="AJ4" s="26"/>
      <c r="AK4" s="26"/>
      <c r="AL4" s="45" t="s">
        <v>271</v>
      </c>
      <c r="AM4" s="45"/>
      <c r="AN4" s="46" t="s">
        <v>124</v>
      </c>
      <c r="AO4" s="46"/>
    </row>
    <row r="5" spans="1:41">
      <c r="A5" s="32"/>
      <c r="B5" s="44"/>
      <c r="C5" s="44"/>
      <c r="D5" s="43"/>
      <c r="E5" s="3">
        <f>COUNTIF(E6:E48,"YES")</f>
        <v>38</v>
      </c>
      <c r="F5" s="1">
        <f>COUNTIF(F6:F48,"NO")</f>
        <v>5</v>
      </c>
      <c r="G5" s="2" t="s">
        <v>73</v>
      </c>
      <c r="H5" s="3">
        <f>COUNTIF(H6:H49,"YES")</f>
        <v>40</v>
      </c>
      <c r="I5" s="1">
        <f>COUNTIF(I6:I48,"NO")</f>
        <v>4</v>
      </c>
      <c r="J5" s="2" t="s">
        <v>73</v>
      </c>
      <c r="K5" s="3">
        <f>COUNTIF(K6:K49,"YES")</f>
        <v>39</v>
      </c>
      <c r="L5" s="1">
        <f>COUNTIF(L6:L48,"NO")</f>
        <v>5</v>
      </c>
      <c r="M5" s="2" t="s">
        <v>73</v>
      </c>
      <c r="N5" s="3">
        <f>COUNTIF(N6:N49,"YES")</f>
        <v>0</v>
      </c>
      <c r="O5" s="1">
        <f>COUNTIF(O6:O48,"NO")</f>
        <v>0</v>
      </c>
      <c r="P5" s="2" t="s">
        <v>73</v>
      </c>
      <c r="Q5" s="3">
        <f>COUNTIF(Q6:Q49,"YES")</f>
        <v>39</v>
      </c>
      <c r="R5" s="1">
        <f>COUNTIF(R6:R48,"NO")</f>
        <v>5</v>
      </c>
      <c r="S5" s="2" t="s">
        <v>73</v>
      </c>
      <c r="T5" s="3">
        <f>COUNTIF(T6:T49,"YES")</f>
        <v>39</v>
      </c>
      <c r="U5" s="1">
        <f>COUNTIF(U6:U48,"NO")</f>
        <v>5</v>
      </c>
      <c r="V5" s="2" t="s">
        <v>73</v>
      </c>
      <c r="W5" s="3">
        <f>COUNTIF(W6:W49,"YES")</f>
        <v>39</v>
      </c>
      <c r="X5" s="1">
        <f>COUNTIF(X6:X48,"NO")</f>
        <v>5</v>
      </c>
      <c r="Y5" s="2" t="s">
        <v>73</v>
      </c>
      <c r="Z5" s="3">
        <f>COUNTIF(Z6:Z49,"YES")</f>
        <v>0</v>
      </c>
      <c r="AA5" s="1">
        <f>COUNTIF(AA6:AA48,"NO")</f>
        <v>0</v>
      </c>
      <c r="AB5" s="2" t="s">
        <v>73</v>
      </c>
      <c r="AC5" s="3">
        <f>COUNTIF(AC6:AC49,"YES")</f>
        <v>40</v>
      </c>
      <c r="AD5" s="1">
        <f>COUNTIF(AD6:AD48,"NO")</f>
        <v>4</v>
      </c>
      <c r="AE5" s="2" t="s">
        <v>73</v>
      </c>
      <c r="AF5" s="3">
        <f>COUNTIF(AF6:AF49,"YES")</f>
        <v>41</v>
      </c>
      <c r="AG5" s="1">
        <f>COUNTIF(AG6:AG48,"NO")</f>
        <v>3</v>
      </c>
      <c r="AH5" s="2" t="s">
        <v>73</v>
      </c>
      <c r="AI5" s="3">
        <f>COUNTIF(AI6:AI49,"YES")</f>
        <v>40</v>
      </c>
      <c r="AJ5" s="1">
        <f>COUNTIF(AJ6:AJ48,"NO")</f>
        <v>4</v>
      </c>
      <c r="AK5" s="2" t="s">
        <v>73</v>
      </c>
      <c r="AL5" s="35" t="s">
        <v>272</v>
      </c>
      <c r="AM5" s="35" t="s">
        <v>273</v>
      </c>
      <c r="AN5" t="s">
        <v>272</v>
      </c>
      <c r="AO5" t="s">
        <v>273</v>
      </c>
    </row>
    <row r="6" spans="1:41">
      <c r="A6" s="32" t="s">
        <v>81</v>
      </c>
      <c r="B6" s="6" t="s">
        <v>28</v>
      </c>
      <c r="C6" s="6" t="s">
        <v>79</v>
      </c>
      <c r="D6" t="s">
        <v>29</v>
      </c>
      <c r="E6" t="s">
        <v>3</v>
      </c>
      <c r="H6" t="s">
        <v>3</v>
      </c>
      <c r="K6" t="s">
        <v>3</v>
      </c>
      <c r="Q6" t="s">
        <v>3</v>
      </c>
      <c r="T6" t="s">
        <v>3</v>
      </c>
      <c r="W6" t="s">
        <v>3</v>
      </c>
      <c r="Z6" s="1"/>
      <c r="AA6" s="1"/>
      <c r="AB6" s="1"/>
      <c r="AC6" t="s">
        <v>3</v>
      </c>
      <c r="AF6" t="s">
        <v>3</v>
      </c>
      <c r="AI6" t="s">
        <v>3</v>
      </c>
      <c r="AL6">
        <f>COUNTIF(E6:AK6,"NO")</f>
        <v>0</v>
      </c>
      <c r="AM6" s="10">
        <f>(AL6)/(AL6+AN6)</f>
        <v>0</v>
      </c>
      <c r="AN6">
        <f>COUNTIF(E6:AK6,"YES")</f>
        <v>9</v>
      </c>
      <c r="AO6" s="9">
        <f>AN6/(AL6+AN6)</f>
        <v>1</v>
      </c>
    </row>
    <row r="7" spans="1:41">
      <c r="A7" s="32" t="s">
        <v>82</v>
      </c>
      <c r="B7" s="6" t="s">
        <v>50</v>
      </c>
      <c r="C7" s="6" t="s">
        <v>79</v>
      </c>
      <c r="D7" t="s">
        <v>29</v>
      </c>
      <c r="E7" t="s">
        <v>3</v>
      </c>
      <c r="H7" t="s">
        <v>3</v>
      </c>
      <c r="K7" t="s">
        <v>3</v>
      </c>
      <c r="Q7" t="s">
        <v>3</v>
      </c>
      <c r="T7" t="s">
        <v>3</v>
      </c>
      <c r="W7" t="s">
        <v>3</v>
      </c>
      <c r="Z7" s="1"/>
      <c r="AA7" s="1"/>
      <c r="AB7" s="1"/>
      <c r="AC7" t="s">
        <v>3</v>
      </c>
      <c r="AF7" t="s">
        <v>3</v>
      </c>
      <c r="AI7" t="s">
        <v>3</v>
      </c>
      <c r="AL7">
        <f t="shared" ref="AL7:AL49" si="0">COUNTIF(E7:AK7,"NO")</f>
        <v>0</v>
      </c>
      <c r="AM7" s="10">
        <f t="shared" ref="AM7:AM50" si="1">(AL7)/(AL7+AN7)</f>
        <v>0</v>
      </c>
      <c r="AN7">
        <f t="shared" ref="AN7:AN49" si="2">COUNTIF(E7:AK7,"YES")</f>
        <v>9</v>
      </c>
      <c r="AO7" s="9">
        <f t="shared" ref="AO7:AO50" si="3">AN7/(AL7+AN7)</f>
        <v>1</v>
      </c>
    </row>
    <row r="8" spans="1:41">
      <c r="A8" s="32" t="s">
        <v>83</v>
      </c>
      <c r="B8" s="6" t="s">
        <v>66</v>
      </c>
      <c r="C8" s="6" t="s">
        <v>79</v>
      </c>
      <c r="D8" t="s">
        <v>29</v>
      </c>
      <c r="E8" t="s">
        <v>3</v>
      </c>
      <c r="H8" t="s">
        <v>3</v>
      </c>
      <c r="K8" t="s">
        <v>3</v>
      </c>
      <c r="Q8" t="s">
        <v>3</v>
      </c>
      <c r="T8" t="s">
        <v>3</v>
      </c>
      <c r="W8" t="s">
        <v>3</v>
      </c>
      <c r="Z8" s="1"/>
      <c r="AA8" s="1"/>
      <c r="AB8" s="1"/>
      <c r="AC8" t="s">
        <v>3</v>
      </c>
      <c r="AF8" t="s">
        <v>3</v>
      </c>
      <c r="AI8" t="s">
        <v>3</v>
      </c>
      <c r="AL8">
        <f t="shared" si="0"/>
        <v>0</v>
      </c>
      <c r="AM8" s="10">
        <f t="shared" si="1"/>
        <v>0</v>
      </c>
      <c r="AN8">
        <f t="shared" si="2"/>
        <v>9</v>
      </c>
      <c r="AO8" s="9">
        <f t="shared" si="3"/>
        <v>1</v>
      </c>
    </row>
    <row r="9" spans="1:41">
      <c r="A9" s="32" t="s">
        <v>84</v>
      </c>
      <c r="B9" s="6" t="s">
        <v>24</v>
      </c>
      <c r="C9" s="6" t="s">
        <v>79</v>
      </c>
      <c r="D9" t="s">
        <v>5</v>
      </c>
      <c r="E9" t="s">
        <v>3</v>
      </c>
      <c r="H9" t="s">
        <v>3</v>
      </c>
      <c r="K9" t="s">
        <v>3</v>
      </c>
      <c r="Q9" t="s">
        <v>3</v>
      </c>
      <c r="T9" t="s">
        <v>3</v>
      </c>
      <c r="W9" t="s">
        <v>3</v>
      </c>
      <c r="Z9" s="1"/>
      <c r="AA9" s="1"/>
      <c r="AB9" s="1"/>
      <c r="AC9" t="s">
        <v>3</v>
      </c>
      <c r="AF9" t="s">
        <v>3</v>
      </c>
      <c r="AI9" t="s">
        <v>3</v>
      </c>
      <c r="AL9">
        <f t="shared" si="0"/>
        <v>0</v>
      </c>
      <c r="AM9" s="10">
        <f t="shared" si="1"/>
        <v>0</v>
      </c>
      <c r="AN9">
        <f t="shared" si="2"/>
        <v>9</v>
      </c>
      <c r="AO9" s="9">
        <f t="shared" si="3"/>
        <v>1</v>
      </c>
    </row>
    <row r="10" spans="1:41">
      <c r="A10" s="32" t="s">
        <v>85</v>
      </c>
      <c r="B10" s="7" t="s">
        <v>36</v>
      </c>
      <c r="C10" s="7" t="s">
        <v>79</v>
      </c>
      <c r="D10" s="1" t="s">
        <v>5</v>
      </c>
      <c r="E10" s="1"/>
      <c r="F10" s="1" t="s">
        <v>0</v>
      </c>
      <c r="G10" s="1"/>
      <c r="H10" s="1"/>
      <c r="I10" s="1" t="s">
        <v>0</v>
      </c>
      <c r="J10" s="1"/>
      <c r="K10" s="1"/>
      <c r="L10" s="1" t="s">
        <v>0</v>
      </c>
      <c r="M10" s="1"/>
      <c r="Q10" s="1"/>
      <c r="R10" s="1" t="s">
        <v>0</v>
      </c>
      <c r="S10" s="1"/>
      <c r="T10" s="1"/>
      <c r="U10" s="1" t="s">
        <v>0</v>
      </c>
      <c r="V10" s="1"/>
      <c r="W10" s="1"/>
      <c r="X10" s="1" t="s">
        <v>0</v>
      </c>
      <c r="Y10" s="1"/>
      <c r="Z10" s="1"/>
      <c r="AA10" s="1"/>
      <c r="AB10" s="1"/>
      <c r="AC10" s="1"/>
      <c r="AD10" s="1" t="s">
        <v>0</v>
      </c>
      <c r="AE10" s="1"/>
      <c r="AF10" s="1"/>
      <c r="AG10" s="1" t="s">
        <v>0</v>
      </c>
      <c r="AH10" s="1"/>
      <c r="AI10" s="1"/>
      <c r="AJ10" s="1" t="s">
        <v>0</v>
      </c>
      <c r="AK10" s="1"/>
      <c r="AL10">
        <f t="shared" si="0"/>
        <v>9</v>
      </c>
      <c r="AM10" s="10">
        <f t="shared" si="1"/>
        <v>1</v>
      </c>
      <c r="AN10">
        <f t="shared" si="2"/>
        <v>0</v>
      </c>
      <c r="AO10" s="9">
        <f t="shared" si="3"/>
        <v>0</v>
      </c>
    </row>
    <row r="11" spans="1:41">
      <c r="A11" s="32" t="s">
        <v>86</v>
      </c>
      <c r="B11" s="6" t="s">
        <v>10</v>
      </c>
      <c r="C11" s="6" t="s">
        <v>79</v>
      </c>
      <c r="D11" t="s">
        <v>11</v>
      </c>
      <c r="E11" t="s">
        <v>3</v>
      </c>
      <c r="H11" t="s">
        <v>3</v>
      </c>
      <c r="K11" t="s">
        <v>3</v>
      </c>
      <c r="Q11" t="s">
        <v>3</v>
      </c>
      <c r="T11" t="s">
        <v>3</v>
      </c>
      <c r="W11" t="s">
        <v>3</v>
      </c>
      <c r="Z11" s="1"/>
      <c r="AA11" s="1"/>
      <c r="AB11" s="1"/>
      <c r="AC11" t="s">
        <v>3</v>
      </c>
      <c r="AF11" t="s">
        <v>3</v>
      </c>
      <c r="AI11" t="s">
        <v>3</v>
      </c>
      <c r="AL11">
        <f t="shared" si="0"/>
        <v>0</v>
      </c>
      <c r="AM11" s="10">
        <f t="shared" si="1"/>
        <v>0</v>
      </c>
      <c r="AN11">
        <f t="shared" si="2"/>
        <v>9</v>
      </c>
      <c r="AO11" s="9">
        <f t="shared" si="3"/>
        <v>1</v>
      </c>
    </row>
    <row r="12" spans="1:41">
      <c r="A12" s="32" t="s">
        <v>87</v>
      </c>
      <c r="B12" s="6" t="s">
        <v>41</v>
      </c>
      <c r="C12" s="6" t="s">
        <v>79</v>
      </c>
      <c r="D12" t="s">
        <v>11</v>
      </c>
      <c r="E12" t="s">
        <v>3</v>
      </c>
      <c r="H12" t="s">
        <v>3</v>
      </c>
      <c r="K12" t="s">
        <v>3</v>
      </c>
      <c r="Q12" t="s">
        <v>3</v>
      </c>
      <c r="T12" t="s">
        <v>3</v>
      </c>
      <c r="W12" t="s">
        <v>3</v>
      </c>
      <c r="Z12" s="1"/>
      <c r="AA12" s="1"/>
      <c r="AB12" s="1"/>
      <c r="AC12" t="s">
        <v>3</v>
      </c>
      <c r="AF12" t="s">
        <v>3</v>
      </c>
      <c r="AI12" t="s">
        <v>3</v>
      </c>
      <c r="AL12">
        <f t="shared" si="0"/>
        <v>0</v>
      </c>
      <c r="AM12" s="10">
        <f t="shared" si="1"/>
        <v>0</v>
      </c>
      <c r="AN12">
        <f t="shared" si="2"/>
        <v>9</v>
      </c>
      <c r="AO12" s="9">
        <f t="shared" si="3"/>
        <v>1</v>
      </c>
    </row>
    <row r="13" spans="1:41">
      <c r="A13" s="32" t="s">
        <v>88</v>
      </c>
      <c r="B13" s="6" t="s">
        <v>51</v>
      </c>
      <c r="C13" s="6" t="s">
        <v>79</v>
      </c>
      <c r="D13" t="s">
        <v>11</v>
      </c>
      <c r="E13" t="s">
        <v>3</v>
      </c>
      <c r="H13" t="s">
        <v>3</v>
      </c>
      <c r="K13" t="s">
        <v>3</v>
      </c>
      <c r="Q13" t="s">
        <v>3</v>
      </c>
      <c r="T13" t="s">
        <v>3</v>
      </c>
      <c r="W13" t="s">
        <v>3</v>
      </c>
      <c r="Z13" s="1"/>
      <c r="AA13" s="1"/>
      <c r="AB13" s="1"/>
      <c r="AC13" t="s">
        <v>3</v>
      </c>
      <c r="AF13" t="s">
        <v>3</v>
      </c>
      <c r="AI13" t="s">
        <v>3</v>
      </c>
      <c r="AL13">
        <f t="shared" si="0"/>
        <v>0</v>
      </c>
      <c r="AM13" s="10">
        <f t="shared" si="1"/>
        <v>0</v>
      </c>
      <c r="AN13">
        <f t="shared" si="2"/>
        <v>9</v>
      </c>
      <c r="AO13" s="9">
        <f t="shared" si="3"/>
        <v>1</v>
      </c>
    </row>
    <row r="14" spans="1:41">
      <c r="A14" s="32" t="s">
        <v>89</v>
      </c>
      <c r="B14" s="6" t="s">
        <v>53</v>
      </c>
      <c r="C14" s="6" t="s">
        <v>79</v>
      </c>
      <c r="D14" t="s">
        <v>11</v>
      </c>
      <c r="E14" t="s">
        <v>3</v>
      </c>
      <c r="H14" t="s">
        <v>3</v>
      </c>
      <c r="K14" t="s">
        <v>3</v>
      </c>
      <c r="Q14" t="s">
        <v>3</v>
      </c>
      <c r="T14" t="s">
        <v>3</v>
      </c>
      <c r="W14" t="s">
        <v>3</v>
      </c>
      <c r="Z14" s="1"/>
      <c r="AA14" s="1"/>
      <c r="AB14" s="1"/>
      <c r="AC14" t="s">
        <v>3</v>
      </c>
      <c r="AF14" t="s">
        <v>3</v>
      </c>
      <c r="AI14" t="s">
        <v>3</v>
      </c>
      <c r="AL14">
        <f t="shared" si="0"/>
        <v>0</v>
      </c>
      <c r="AM14" s="10">
        <f t="shared" si="1"/>
        <v>0</v>
      </c>
      <c r="AN14">
        <f t="shared" si="2"/>
        <v>9</v>
      </c>
      <c r="AO14" s="9">
        <f t="shared" si="3"/>
        <v>1</v>
      </c>
    </row>
    <row r="15" spans="1:41">
      <c r="A15" s="32" t="s">
        <v>90</v>
      </c>
      <c r="B15" s="6" t="s">
        <v>44</v>
      </c>
      <c r="C15" s="6" t="s">
        <v>79</v>
      </c>
      <c r="D15" t="s">
        <v>45</v>
      </c>
      <c r="E15" t="s">
        <v>3</v>
      </c>
      <c r="H15" t="s">
        <v>3</v>
      </c>
      <c r="K15" t="s">
        <v>3</v>
      </c>
      <c r="Q15" t="s">
        <v>3</v>
      </c>
      <c r="T15" t="s">
        <v>3</v>
      </c>
      <c r="W15" t="s">
        <v>3</v>
      </c>
      <c r="Z15" s="1"/>
      <c r="AA15" s="1"/>
      <c r="AB15" s="1"/>
      <c r="AC15" t="s">
        <v>3</v>
      </c>
      <c r="AF15" t="s">
        <v>3</v>
      </c>
      <c r="AI15" t="s">
        <v>3</v>
      </c>
      <c r="AL15">
        <f t="shared" si="0"/>
        <v>0</v>
      </c>
      <c r="AM15" s="10">
        <f t="shared" si="1"/>
        <v>0</v>
      </c>
      <c r="AN15">
        <f t="shared" si="2"/>
        <v>9</v>
      </c>
      <c r="AO15" s="9">
        <f t="shared" si="3"/>
        <v>1</v>
      </c>
    </row>
    <row r="16" spans="1:41">
      <c r="A16" s="32" t="s">
        <v>91</v>
      </c>
      <c r="B16" s="6" t="s">
        <v>46</v>
      </c>
      <c r="C16" s="6" t="s">
        <v>79</v>
      </c>
      <c r="D16" t="s">
        <v>45</v>
      </c>
      <c r="E16" t="s">
        <v>3</v>
      </c>
      <c r="H16" t="s">
        <v>3</v>
      </c>
      <c r="K16" t="s">
        <v>3</v>
      </c>
      <c r="Q16" t="s">
        <v>3</v>
      </c>
      <c r="T16" t="s">
        <v>3</v>
      </c>
      <c r="W16" t="s">
        <v>3</v>
      </c>
      <c r="Z16" s="1"/>
      <c r="AA16" s="1"/>
      <c r="AB16" s="1"/>
      <c r="AC16" t="s">
        <v>3</v>
      </c>
      <c r="AF16" t="s">
        <v>3</v>
      </c>
      <c r="AI16" t="s">
        <v>3</v>
      </c>
      <c r="AL16">
        <f t="shared" si="0"/>
        <v>0</v>
      </c>
      <c r="AM16" s="10">
        <f t="shared" si="1"/>
        <v>0</v>
      </c>
      <c r="AN16">
        <f t="shared" si="2"/>
        <v>9</v>
      </c>
      <c r="AO16" s="9">
        <f t="shared" si="3"/>
        <v>1</v>
      </c>
    </row>
    <row r="17" spans="1:41">
      <c r="A17" s="32" t="s">
        <v>92</v>
      </c>
      <c r="B17" s="6" t="s">
        <v>52</v>
      </c>
      <c r="C17" s="6" t="s">
        <v>79</v>
      </c>
      <c r="D17" t="s">
        <v>45</v>
      </c>
      <c r="E17" t="s">
        <v>3</v>
      </c>
      <c r="H17" t="s">
        <v>3</v>
      </c>
      <c r="K17" t="s">
        <v>3</v>
      </c>
      <c r="Q17" t="s">
        <v>3</v>
      </c>
      <c r="T17" t="s">
        <v>3</v>
      </c>
      <c r="W17" t="s">
        <v>3</v>
      </c>
      <c r="Z17" s="1"/>
      <c r="AA17" s="1"/>
      <c r="AB17" s="1"/>
      <c r="AC17" t="s">
        <v>3</v>
      </c>
      <c r="AF17" t="s">
        <v>3</v>
      </c>
      <c r="AI17" t="s">
        <v>3</v>
      </c>
      <c r="AL17">
        <f t="shared" si="0"/>
        <v>0</v>
      </c>
      <c r="AM17" s="10">
        <f t="shared" si="1"/>
        <v>0</v>
      </c>
      <c r="AN17">
        <f t="shared" si="2"/>
        <v>9</v>
      </c>
      <c r="AO17" s="9">
        <f t="shared" si="3"/>
        <v>1</v>
      </c>
    </row>
    <row r="18" spans="1:41">
      <c r="A18" s="32" t="s">
        <v>93</v>
      </c>
      <c r="B18" s="6" t="s">
        <v>65</v>
      </c>
      <c r="C18" s="6" t="s">
        <v>79</v>
      </c>
      <c r="D18" t="s">
        <v>45</v>
      </c>
      <c r="E18" t="s">
        <v>3</v>
      </c>
      <c r="H18" t="s">
        <v>3</v>
      </c>
      <c r="K18" t="s">
        <v>3</v>
      </c>
      <c r="Q18" t="s">
        <v>3</v>
      </c>
      <c r="T18" t="s">
        <v>3</v>
      </c>
      <c r="W18" t="s">
        <v>3</v>
      </c>
      <c r="Z18" s="1"/>
      <c r="AA18" s="1"/>
      <c r="AB18" s="1"/>
      <c r="AC18" t="s">
        <v>3</v>
      </c>
      <c r="AF18" t="s">
        <v>3</v>
      </c>
      <c r="AI18" t="s">
        <v>3</v>
      </c>
      <c r="AL18">
        <f t="shared" si="0"/>
        <v>0</v>
      </c>
      <c r="AM18" s="10">
        <f t="shared" si="1"/>
        <v>0</v>
      </c>
      <c r="AN18">
        <f t="shared" si="2"/>
        <v>9</v>
      </c>
      <c r="AO18" s="9">
        <f t="shared" si="3"/>
        <v>1</v>
      </c>
    </row>
    <row r="19" spans="1:41">
      <c r="A19" s="32" t="s">
        <v>94</v>
      </c>
      <c r="B19" s="6" t="s">
        <v>8</v>
      </c>
      <c r="C19" s="6" t="s">
        <v>79</v>
      </c>
      <c r="D19" t="s">
        <v>9</v>
      </c>
      <c r="E19" t="s">
        <v>3</v>
      </c>
      <c r="H19" t="s">
        <v>3</v>
      </c>
      <c r="K19" t="s">
        <v>3</v>
      </c>
      <c r="Q19" t="s">
        <v>3</v>
      </c>
      <c r="T19" t="s">
        <v>3</v>
      </c>
      <c r="W19" t="s">
        <v>3</v>
      </c>
      <c r="Z19" s="1"/>
      <c r="AA19" s="1"/>
      <c r="AB19" s="1"/>
      <c r="AC19" t="s">
        <v>3</v>
      </c>
      <c r="AF19" t="s">
        <v>3</v>
      </c>
      <c r="AI19" t="s">
        <v>3</v>
      </c>
      <c r="AL19">
        <f t="shared" si="0"/>
        <v>0</v>
      </c>
      <c r="AM19" s="10">
        <f t="shared" si="1"/>
        <v>0</v>
      </c>
      <c r="AN19">
        <f t="shared" si="2"/>
        <v>9</v>
      </c>
      <c r="AO19" s="9">
        <f t="shared" si="3"/>
        <v>1</v>
      </c>
    </row>
    <row r="20" spans="1:41">
      <c r="A20" s="32" t="s">
        <v>95</v>
      </c>
      <c r="B20" s="6" t="s">
        <v>43</v>
      </c>
      <c r="C20" s="6" t="s">
        <v>79</v>
      </c>
      <c r="D20" t="s">
        <v>9</v>
      </c>
      <c r="E20" t="s">
        <v>3</v>
      </c>
      <c r="H20" t="s">
        <v>3</v>
      </c>
      <c r="K20" t="s">
        <v>3</v>
      </c>
      <c r="Q20" t="s">
        <v>3</v>
      </c>
      <c r="T20" t="s">
        <v>3</v>
      </c>
      <c r="W20" t="s">
        <v>3</v>
      </c>
      <c r="Z20" s="1"/>
      <c r="AA20" s="1"/>
      <c r="AB20" s="1"/>
      <c r="AC20" t="s">
        <v>3</v>
      </c>
      <c r="AF20" t="s">
        <v>3</v>
      </c>
      <c r="AI20" t="s">
        <v>3</v>
      </c>
      <c r="AL20">
        <f t="shared" si="0"/>
        <v>0</v>
      </c>
      <c r="AM20" s="10">
        <f t="shared" si="1"/>
        <v>0</v>
      </c>
      <c r="AN20">
        <f t="shared" si="2"/>
        <v>9</v>
      </c>
      <c r="AO20" s="9">
        <f t="shared" si="3"/>
        <v>1</v>
      </c>
    </row>
    <row r="21" spans="1:41">
      <c r="A21" s="32" t="s">
        <v>96</v>
      </c>
      <c r="B21" s="6" t="s">
        <v>49</v>
      </c>
      <c r="C21" s="6" t="s">
        <v>79</v>
      </c>
      <c r="D21" t="s">
        <v>9</v>
      </c>
      <c r="E21" t="s">
        <v>3</v>
      </c>
      <c r="H21" t="s">
        <v>3</v>
      </c>
      <c r="K21" t="s">
        <v>3</v>
      </c>
      <c r="Q21" t="s">
        <v>3</v>
      </c>
      <c r="T21" t="s">
        <v>3</v>
      </c>
      <c r="W21" t="s">
        <v>3</v>
      </c>
      <c r="Z21" s="1"/>
      <c r="AA21" s="1"/>
      <c r="AB21" s="1"/>
      <c r="AC21" t="s">
        <v>3</v>
      </c>
      <c r="AF21" t="s">
        <v>3</v>
      </c>
      <c r="AI21" t="s">
        <v>3</v>
      </c>
      <c r="AL21">
        <f t="shared" si="0"/>
        <v>0</v>
      </c>
      <c r="AM21" s="10">
        <f t="shared" si="1"/>
        <v>0</v>
      </c>
      <c r="AN21">
        <f t="shared" si="2"/>
        <v>9</v>
      </c>
      <c r="AO21" s="9">
        <f t="shared" si="3"/>
        <v>1</v>
      </c>
    </row>
    <row r="22" spans="1:41">
      <c r="A22" s="32" t="s">
        <v>97</v>
      </c>
      <c r="B22" s="8" t="s">
        <v>4</v>
      </c>
      <c r="C22" s="8" t="s">
        <v>79</v>
      </c>
      <c r="D22" s="5" t="s">
        <v>4</v>
      </c>
      <c r="E22" t="s">
        <v>3</v>
      </c>
      <c r="H22" t="s">
        <v>3</v>
      </c>
      <c r="K22" t="s">
        <v>3</v>
      </c>
      <c r="Q22" t="s">
        <v>3</v>
      </c>
      <c r="T22" t="s">
        <v>3</v>
      </c>
      <c r="W22" t="s">
        <v>3</v>
      </c>
      <c r="Z22" s="1"/>
      <c r="AA22" s="1" t="s">
        <v>267</v>
      </c>
      <c r="AB22" s="1"/>
      <c r="AC22" t="s">
        <v>3</v>
      </c>
      <c r="AF22" t="s">
        <v>3</v>
      </c>
      <c r="AI22" t="s">
        <v>3</v>
      </c>
      <c r="AL22">
        <f t="shared" si="0"/>
        <v>0</v>
      </c>
      <c r="AM22" s="10">
        <f t="shared" si="1"/>
        <v>0</v>
      </c>
      <c r="AN22">
        <f t="shared" si="2"/>
        <v>9</v>
      </c>
      <c r="AO22" s="9">
        <f t="shared" si="3"/>
        <v>1</v>
      </c>
    </row>
    <row r="23" spans="1:41">
      <c r="A23" s="32" t="s">
        <v>98</v>
      </c>
      <c r="B23" s="6" t="s">
        <v>71</v>
      </c>
      <c r="C23" s="6" t="s">
        <v>79</v>
      </c>
      <c r="D23" t="s">
        <v>42</v>
      </c>
      <c r="E23" t="s">
        <v>3</v>
      </c>
      <c r="H23" t="s">
        <v>3</v>
      </c>
      <c r="K23" t="s">
        <v>3</v>
      </c>
      <c r="Q23" t="s">
        <v>3</v>
      </c>
      <c r="T23" t="s">
        <v>3</v>
      </c>
      <c r="W23" t="s">
        <v>3</v>
      </c>
      <c r="Z23" s="1"/>
      <c r="AA23" s="1"/>
      <c r="AB23" s="1"/>
      <c r="AC23" t="s">
        <v>3</v>
      </c>
      <c r="AF23" t="s">
        <v>3</v>
      </c>
      <c r="AI23" t="s">
        <v>3</v>
      </c>
      <c r="AL23">
        <f t="shared" si="0"/>
        <v>0</v>
      </c>
      <c r="AM23" s="10">
        <f t="shared" si="1"/>
        <v>0</v>
      </c>
      <c r="AN23">
        <f t="shared" si="2"/>
        <v>9</v>
      </c>
      <c r="AO23" s="9">
        <f t="shared" si="3"/>
        <v>1</v>
      </c>
    </row>
    <row r="24" spans="1:41">
      <c r="A24" s="32" t="s">
        <v>99</v>
      </c>
      <c r="B24" s="6" t="s">
        <v>30</v>
      </c>
      <c r="C24" s="6" t="s">
        <v>80</v>
      </c>
      <c r="D24" t="s">
        <v>31</v>
      </c>
      <c r="E24" t="s">
        <v>3</v>
      </c>
      <c r="H24" t="s">
        <v>3</v>
      </c>
      <c r="K24" t="s">
        <v>3</v>
      </c>
      <c r="Q24" t="s">
        <v>3</v>
      </c>
      <c r="T24" t="s">
        <v>3</v>
      </c>
      <c r="W24" t="s">
        <v>3</v>
      </c>
      <c r="Z24" s="1"/>
      <c r="AA24" s="1"/>
      <c r="AB24" s="1"/>
      <c r="AC24" t="s">
        <v>3</v>
      </c>
      <c r="AF24" t="s">
        <v>3</v>
      </c>
      <c r="AI24" t="s">
        <v>3</v>
      </c>
      <c r="AL24">
        <f t="shared" si="0"/>
        <v>0</v>
      </c>
      <c r="AM24" s="10">
        <f t="shared" si="1"/>
        <v>0</v>
      </c>
      <c r="AN24">
        <f t="shared" si="2"/>
        <v>9</v>
      </c>
      <c r="AO24" s="9">
        <f t="shared" si="3"/>
        <v>1</v>
      </c>
    </row>
    <row r="25" spans="1:41">
      <c r="A25" s="32" t="s">
        <v>100</v>
      </c>
      <c r="B25" s="6" t="s">
        <v>1</v>
      </c>
      <c r="C25" s="6" t="s">
        <v>80</v>
      </c>
      <c r="D25" t="s">
        <v>2</v>
      </c>
      <c r="E25" t="s">
        <v>3</v>
      </c>
      <c r="H25" t="s">
        <v>3</v>
      </c>
      <c r="K25" t="s">
        <v>3</v>
      </c>
      <c r="Q25" t="s">
        <v>3</v>
      </c>
      <c r="T25" s="1"/>
      <c r="U25" s="1" t="s">
        <v>0</v>
      </c>
      <c r="V25" s="1"/>
      <c r="W25" t="s">
        <v>3</v>
      </c>
      <c r="Z25" s="1"/>
      <c r="AA25" s="1"/>
      <c r="AB25" s="1"/>
      <c r="AC25" t="s">
        <v>3</v>
      </c>
      <c r="AF25" t="s">
        <v>3</v>
      </c>
      <c r="AI25" t="s">
        <v>3</v>
      </c>
      <c r="AL25">
        <f t="shared" si="0"/>
        <v>1</v>
      </c>
      <c r="AM25" s="10">
        <f t="shared" si="1"/>
        <v>0.1111111111111111</v>
      </c>
      <c r="AN25">
        <f t="shared" si="2"/>
        <v>8</v>
      </c>
      <c r="AO25" s="9">
        <f t="shared" si="3"/>
        <v>0.88888888888888884</v>
      </c>
    </row>
    <row r="26" spans="1:41">
      <c r="A26" s="32" t="s">
        <v>101</v>
      </c>
      <c r="B26" s="6" t="s">
        <v>14</v>
      </c>
      <c r="C26" s="6" t="s">
        <v>78</v>
      </c>
      <c r="D26" t="s">
        <v>15</v>
      </c>
      <c r="E26" t="s">
        <v>3</v>
      </c>
      <c r="H26" t="s">
        <v>3</v>
      </c>
      <c r="K26" t="s">
        <v>3</v>
      </c>
      <c r="Q26" t="s">
        <v>3</v>
      </c>
      <c r="T26" t="s">
        <v>3</v>
      </c>
      <c r="W26" t="s">
        <v>3</v>
      </c>
      <c r="Z26" s="1"/>
      <c r="AA26" s="1"/>
      <c r="AB26" s="1"/>
      <c r="AC26" t="s">
        <v>3</v>
      </c>
      <c r="AF26" t="s">
        <v>3</v>
      </c>
      <c r="AI26" t="s">
        <v>3</v>
      </c>
      <c r="AL26">
        <f t="shared" si="0"/>
        <v>0</v>
      </c>
      <c r="AM26" s="10">
        <f t="shared" si="1"/>
        <v>0</v>
      </c>
      <c r="AN26">
        <f t="shared" si="2"/>
        <v>9</v>
      </c>
      <c r="AO26" s="9">
        <f t="shared" si="3"/>
        <v>1</v>
      </c>
    </row>
    <row r="27" spans="1:41">
      <c r="A27" s="32" t="s">
        <v>102</v>
      </c>
      <c r="B27" s="6" t="s">
        <v>72</v>
      </c>
      <c r="C27" s="6" t="s">
        <v>78</v>
      </c>
      <c r="D27" t="s">
        <v>15</v>
      </c>
      <c r="E27" t="s">
        <v>3</v>
      </c>
      <c r="H27" t="s">
        <v>3</v>
      </c>
      <c r="K27" t="s">
        <v>3</v>
      </c>
      <c r="Q27" t="s">
        <v>3</v>
      </c>
      <c r="T27" t="s">
        <v>3</v>
      </c>
      <c r="W27" t="s">
        <v>3</v>
      </c>
      <c r="Z27" s="1"/>
      <c r="AA27" s="1"/>
      <c r="AB27" s="1"/>
      <c r="AC27" t="s">
        <v>3</v>
      </c>
      <c r="AF27" t="s">
        <v>3</v>
      </c>
      <c r="AI27" t="s">
        <v>3</v>
      </c>
      <c r="AL27">
        <f t="shared" si="0"/>
        <v>0</v>
      </c>
      <c r="AM27" s="10">
        <f t="shared" si="1"/>
        <v>0</v>
      </c>
      <c r="AN27">
        <f t="shared" si="2"/>
        <v>9</v>
      </c>
      <c r="AO27" s="9">
        <f t="shared" si="3"/>
        <v>1</v>
      </c>
    </row>
    <row r="28" spans="1:41">
      <c r="A28" s="32" t="s">
        <v>103</v>
      </c>
      <c r="B28" s="6" t="s">
        <v>23</v>
      </c>
      <c r="C28" s="6" t="s">
        <v>78</v>
      </c>
      <c r="D28" t="s">
        <v>15</v>
      </c>
      <c r="E28" t="s">
        <v>3</v>
      </c>
      <c r="H28" t="s">
        <v>3</v>
      </c>
      <c r="K28" t="s">
        <v>3</v>
      </c>
      <c r="Q28" t="s">
        <v>3</v>
      </c>
      <c r="T28" t="s">
        <v>3</v>
      </c>
      <c r="W28" t="s">
        <v>3</v>
      </c>
      <c r="Z28" s="1"/>
      <c r="AA28" s="1"/>
      <c r="AB28" s="1"/>
      <c r="AC28" t="s">
        <v>3</v>
      </c>
      <c r="AF28" t="s">
        <v>3</v>
      </c>
      <c r="AI28" t="s">
        <v>3</v>
      </c>
      <c r="AL28">
        <f t="shared" si="0"/>
        <v>0</v>
      </c>
      <c r="AM28" s="10">
        <f t="shared" si="1"/>
        <v>0</v>
      </c>
      <c r="AN28">
        <f t="shared" si="2"/>
        <v>9</v>
      </c>
      <c r="AO28" s="9">
        <f t="shared" si="3"/>
        <v>1</v>
      </c>
    </row>
    <row r="29" spans="1:41">
      <c r="A29" s="32" t="s">
        <v>104</v>
      </c>
      <c r="B29" s="6" t="s">
        <v>55</v>
      </c>
      <c r="C29" s="6" t="s">
        <v>78</v>
      </c>
      <c r="D29" t="s">
        <v>15</v>
      </c>
      <c r="E29" t="s">
        <v>3</v>
      </c>
      <c r="H29" t="s">
        <v>3</v>
      </c>
      <c r="K29" t="s">
        <v>3</v>
      </c>
      <c r="Q29" t="s">
        <v>3</v>
      </c>
      <c r="T29" t="s">
        <v>3</v>
      </c>
      <c r="W29" t="s">
        <v>3</v>
      </c>
      <c r="Z29" s="1"/>
      <c r="AA29" s="1"/>
      <c r="AB29" s="1"/>
      <c r="AC29" t="s">
        <v>3</v>
      </c>
      <c r="AF29" t="s">
        <v>3</v>
      </c>
      <c r="AI29" t="s">
        <v>3</v>
      </c>
      <c r="AL29">
        <f t="shared" si="0"/>
        <v>0</v>
      </c>
      <c r="AM29" s="10">
        <f t="shared" si="1"/>
        <v>0</v>
      </c>
      <c r="AN29">
        <f t="shared" si="2"/>
        <v>9</v>
      </c>
      <c r="AO29" s="9">
        <f t="shared" si="3"/>
        <v>1</v>
      </c>
    </row>
    <row r="30" spans="1:41">
      <c r="A30" s="32" t="s">
        <v>105</v>
      </c>
      <c r="B30" s="6" t="s">
        <v>63</v>
      </c>
      <c r="C30" s="6" t="s">
        <v>78</v>
      </c>
      <c r="D30" t="s">
        <v>64</v>
      </c>
      <c r="E30" t="s">
        <v>3</v>
      </c>
      <c r="H30" t="s">
        <v>3</v>
      </c>
      <c r="K30" t="s">
        <v>3</v>
      </c>
      <c r="Q30" t="s">
        <v>3</v>
      </c>
      <c r="T30" t="s">
        <v>3</v>
      </c>
      <c r="W30" t="s">
        <v>3</v>
      </c>
      <c r="Z30" s="1"/>
      <c r="AA30" s="1"/>
      <c r="AB30" s="1"/>
      <c r="AC30" t="s">
        <v>3</v>
      </c>
      <c r="AF30" t="s">
        <v>3</v>
      </c>
      <c r="AI30" t="s">
        <v>3</v>
      </c>
      <c r="AL30">
        <f t="shared" si="0"/>
        <v>0</v>
      </c>
      <c r="AM30" s="10">
        <f t="shared" si="1"/>
        <v>0</v>
      </c>
      <c r="AN30">
        <f t="shared" si="2"/>
        <v>9</v>
      </c>
      <c r="AO30" s="9">
        <f t="shared" si="3"/>
        <v>1</v>
      </c>
    </row>
    <row r="31" spans="1:41">
      <c r="A31" s="32" t="s">
        <v>106</v>
      </c>
      <c r="B31" s="6" t="s">
        <v>60</v>
      </c>
      <c r="C31" s="6" t="s">
        <v>78</v>
      </c>
      <c r="D31" t="s">
        <v>61</v>
      </c>
      <c r="E31" t="s">
        <v>3</v>
      </c>
      <c r="H31" t="s">
        <v>3</v>
      </c>
      <c r="K31" t="s">
        <v>3</v>
      </c>
      <c r="Q31" t="s">
        <v>3</v>
      </c>
      <c r="T31" t="s">
        <v>3</v>
      </c>
      <c r="W31" t="s">
        <v>3</v>
      </c>
      <c r="Z31" s="1"/>
      <c r="AA31" s="1"/>
      <c r="AB31" s="1"/>
      <c r="AC31" t="s">
        <v>3</v>
      </c>
      <c r="AF31" t="s">
        <v>3</v>
      </c>
      <c r="AI31" t="s">
        <v>3</v>
      </c>
      <c r="AL31">
        <f t="shared" si="0"/>
        <v>0</v>
      </c>
      <c r="AM31" s="10">
        <f t="shared" si="1"/>
        <v>0</v>
      </c>
      <c r="AN31">
        <f t="shared" si="2"/>
        <v>9</v>
      </c>
      <c r="AO31" s="9">
        <f t="shared" si="3"/>
        <v>1</v>
      </c>
    </row>
    <row r="32" spans="1:41">
      <c r="A32" s="32" t="s">
        <v>107</v>
      </c>
      <c r="B32" s="6" t="s">
        <v>47</v>
      </c>
      <c r="C32" s="6" t="s">
        <v>76</v>
      </c>
      <c r="D32" t="s">
        <v>48</v>
      </c>
      <c r="E32" t="s">
        <v>3</v>
      </c>
      <c r="H32" t="s">
        <v>3</v>
      </c>
      <c r="K32" t="s">
        <v>3</v>
      </c>
      <c r="Q32" t="s">
        <v>3</v>
      </c>
      <c r="T32" t="s">
        <v>3</v>
      </c>
      <c r="W32" t="s">
        <v>3</v>
      </c>
      <c r="Z32" s="1"/>
      <c r="AA32" s="1"/>
      <c r="AB32" s="1"/>
      <c r="AC32" t="s">
        <v>3</v>
      </c>
      <c r="AF32" t="s">
        <v>3</v>
      </c>
      <c r="AI32" t="s">
        <v>3</v>
      </c>
      <c r="AL32">
        <f t="shared" si="0"/>
        <v>0</v>
      </c>
      <c r="AM32" s="10">
        <f t="shared" si="1"/>
        <v>0</v>
      </c>
      <c r="AN32">
        <f t="shared" si="2"/>
        <v>9</v>
      </c>
      <c r="AO32" s="9">
        <f t="shared" si="3"/>
        <v>1</v>
      </c>
    </row>
    <row r="33" spans="1:41">
      <c r="A33" s="32" t="s">
        <v>108</v>
      </c>
      <c r="B33" s="6" t="s">
        <v>16</v>
      </c>
      <c r="C33" s="6" t="s">
        <v>76</v>
      </c>
      <c r="D33" t="s">
        <v>17</v>
      </c>
      <c r="E33" t="s">
        <v>3</v>
      </c>
      <c r="H33" t="s">
        <v>3</v>
      </c>
      <c r="K33" t="s">
        <v>3</v>
      </c>
      <c r="Q33" t="s">
        <v>3</v>
      </c>
      <c r="T33" t="s">
        <v>3</v>
      </c>
      <c r="W33" t="s">
        <v>3</v>
      </c>
      <c r="Z33" s="1"/>
      <c r="AA33" s="1"/>
      <c r="AB33" s="1"/>
      <c r="AC33" t="s">
        <v>3</v>
      </c>
      <c r="AF33" t="s">
        <v>3</v>
      </c>
      <c r="AI33" t="s">
        <v>3</v>
      </c>
      <c r="AL33">
        <f t="shared" si="0"/>
        <v>0</v>
      </c>
      <c r="AM33" s="10">
        <f t="shared" si="1"/>
        <v>0</v>
      </c>
      <c r="AN33">
        <f t="shared" si="2"/>
        <v>9</v>
      </c>
      <c r="AO33" s="9">
        <f t="shared" si="3"/>
        <v>1</v>
      </c>
    </row>
    <row r="34" spans="1:41">
      <c r="A34" s="32" t="s">
        <v>109</v>
      </c>
      <c r="B34" s="6" t="s">
        <v>62</v>
      </c>
      <c r="C34" s="6" t="s">
        <v>76</v>
      </c>
      <c r="D34" t="s">
        <v>17</v>
      </c>
      <c r="E34" s="1"/>
      <c r="F34" s="1" t="s">
        <v>0</v>
      </c>
      <c r="H34" t="s">
        <v>3</v>
      </c>
      <c r="K34" s="1"/>
      <c r="L34" s="1" t="s">
        <v>0</v>
      </c>
      <c r="M34" s="1"/>
      <c r="Q34" s="1"/>
      <c r="R34" s="1" t="s">
        <v>0</v>
      </c>
      <c r="S34" s="1"/>
      <c r="T34" s="1"/>
      <c r="U34" s="1" t="s">
        <v>0</v>
      </c>
      <c r="V34" s="1"/>
      <c r="W34" s="1"/>
      <c r="X34" s="1" t="s">
        <v>0</v>
      </c>
      <c r="Y34" s="1"/>
      <c r="Z34" s="1"/>
      <c r="AA34" s="1"/>
      <c r="AB34" s="1"/>
      <c r="AC34" t="s">
        <v>3</v>
      </c>
      <c r="AF34" t="s">
        <v>3</v>
      </c>
      <c r="AI34" t="s">
        <v>3</v>
      </c>
      <c r="AL34">
        <f t="shared" si="0"/>
        <v>5</v>
      </c>
      <c r="AM34" s="10">
        <f t="shared" si="1"/>
        <v>0.55555555555555558</v>
      </c>
      <c r="AN34">
        <f t="shared" si="2"/>
        <v>4</v>
      </c>
      <c r="AO34" s="9">
        <f t="shared" si="3"/>
        <v>0.44444444444444442</v>
      </c>
    </row>
    <row r="35" spans="1:41">
      <c r="A35" s="32" t="s">
        <v>110</v>
      </c>
      <c r="B35" s="6" t="s">
        <v>12</v>
      </c>
      <c r="C35" s="6" t="s">
        <v>76</v>
      </c>
      <c r="D35" t="s">
        <v>13</v>
      </c>
      <c r="E35" t="s">
        <v>3</v>
      </c>
      <c r="H35" t="s">
        <v>3</v>
      </c>
      <c r="K35" t="s">
        <v>3</v>
      </c>
      <c r="Q35" t="s">
        <v>3</v>
      </c>
      <c r="T35" t="s">
        <v>3</v>
      </c>
      <c r="W35" t="s">
        <v>3</v>
      </c>
      <c r="Z35" s="1"/>
      <c r="AA35" s="1"/>
      <c r="AB35" s="1"/>
      <c r="AC35" t="s">
        <v>3</v>
      </c>
      <c r="AF35" t="s">
        <v>3</v>
      </c>
      <c r="AI35" t="s">
        <v>3</v>
      </c>
      <c r="AL35">
        <f t="shared" si="0"/>
        <v>0</v>
      </c>
      <c r="AM35" s="10">
        <f t="shared" si="1"/>
        <v>0</v>
      </c>
      <c r="AN35">
        <f t="shared" si="2"/>
        <v>9</v>
      </c>
      <c r="AO35" s="9">
        <f t="shared" si="3"/>
        <v>1</v>
      </c>
    </row>
    <row r="36" spans="1:41">
      <c r="A36" s="32" t="s">
        <v>111</v>
      </c>
      <c r="B36" s="6" t="s">
        <v>25</v>
      </c>
      <c r="C36" s="6" t="s">
        <v>78</v>
      </c>
      <c r="D36" t="s">
        <v>26</v>
      </c>
      <c r="E36" s="1"/>
      <c r="F36" s="1" t="s">
        <v>0</v>
      </c>
      <c r="G36" s="1"/>
      <c r="H36" s="1"/>
      <c r="I36" s="1" t="s">
        <v>0</v>
      </c>
      <c r="J36" s="1"/>
      <c r="K36" s="1"/>
      <c r="L36" s="1" t="s">
        <v>0</v>
      </c>
      <c r="M36" s="1"/>
      <c r="Q36" s="1"/>
      <c r="R36" s="1" t="s">
        <v>0</v>
      </c>
      <c r="S36" s="1"/>
      <c r="T36" s="1"/>
      <c r="U36" s="1" t="s">
        <v>0</v>
      </c>
      <c r="V36" s="1"/>
      <c r="W36" s="1"/>
      <c r="X36" s="1" t="s">
        <v>0</v>
      </c>
      <c r="Y36" s="1"/>
      <c r="Z36" s="1"/>
      <c r="AA36" s="1"/>
      <c r="AB36" s="1"/>
      <c r="AC36" s="1"/>
      <c r="AD36" s="1" t="s">
        <v>0</v>
      </c>
      <c r="AE36" s="1"/>
      <c r="AF36" s="1"/>
      <c r="AG36" s="1" t="s">
        <v>0</v>
      </c>
      <c r="AH36" s="1"/>
      <c r="AI36" s="1"/>
      <c r="AJ36" s="1" t="s">
        <v>0</v>
      </c>
      <c r="AK36" s="1"/>
      <c r="AL36">
        <f t="shared" si="0"/>
        <v>9</v>
      </c>
      <c r="AM36" s="10">
        <f t="shared" si="1"/>
        <v>1</v>
      </c>
      <c r="AN36">
        <f t="shared" si="2"/>
        <v>0</v>
      </c>
      <c r="AO36" s="9">
        <f t="shared" si="3"/>
        <v>0</v>
      </c>
    </row>
    <row r="37" spans="1:41">
      <c r="A37" s="32" t="s">
        <v>112</v>
      </c>
      <c r="B37" s="6" t="s">
        <v>32</v>
      </c>
      <c r="C37" s="6" t="s">
        <v>76</v>
      </c>
      <c r="D37" t="s">
        <v>33</v>
      </c>
      <c r="E37" t="s">
        <v>3</v>
      </c>
      <c r="H37" t="s">
        <v>3</v>
      </c>
      <c r="K37" t="s">
        <v>3</v>
      </c>
      <c r="Q37" t="s">
        <v>3</v>
      </c>
      <c r="T37" t="s">
        <v>3</v>
      </c>
      <c r="W37" s="1"/>
      <c r="X37" s="1" t="s">
        <v>0</v>
      </c>
      <c r="Y37" s="1"/>
      <c r="Z37" s="1"/>
      <c r="AA37" s="1"/>
      <c r="AB37" s="1"/>
      <c r="AC37" t="s">
        <v>3</v>
      </c>
      <c r="AF37" t="s">
        <v>3</v>
      </c>
      <c r="AI37" t="s">
        <v>3</v>
      </c>
      <c r="AL37">
        <f t="shared" si="0"/>
        <v>1</v>
      </c>
      <c r="AM37" s="10">
        <f t="shared" si="1"/>
        <v>0.1111111111111111</v>
      </c>
      <c r="AN37">
        <f t="shared" si="2"/>
        <v>8</v>
      </c>
      <c r="AO37" s="9">
        <f t="shared" si="3"/>
        <v>0.88888888888888884</v>
      </c>
    </row>
    <row r="38" spans="1:41">
      <c r="A38" s="32" t="s">
        <v>113</v>
      </c>
      <c r="B38" s="6" t="s">
        <v>37</v>
      </c>
      <c r="C38" s="6" t="s">
        <v>76</v>
      </c>
      <c r="D38" t="s">
        <v>33</v>
      </c>
      <c r="E38" t="s">
        <v>3</v>
      </c>
      <c r="H38" t="s">
        <v>3</v>
      </c>
      <c r="K38" t="s">
        <v>3</v>
      </c>
      <c r="Q38" t="s">
        <v>3</v>
      </c>
      <c r="T38" t="s">
        <v>3</v>
      </c>
      <c r="W38" t="s">
        <v>3</v>
      </c>
      <c r="Z38" s="1"/>
      <c r="AA38" s="1"/>
      <c r="AB38" s="1"/>
      <c r="AC38" t="s">
        <v>3</v>
      </c>
      <c r="AF38" t="s">
        <v>3</v>
      </c>
      <c r="AI38" t="s">
        <v>3</v>
      </c>
      <c r="AL38">
        <f t="shared" si="0"/>
        <v>0</v>
      </c>
      <c r="AM38" s="10">
        <f t="shared" si="1"/>
        <v>0</v>
      </c>
      <c r="AN38">
        <f t="shared" si="2"/>
        <v>9</v>
      </c>
      <c r="AO38" s="9">
        <f t="shared" si="3"/>
        <v>1</v>
      </c>
    </row>
    <row r="39" spans="1:41">
      <c r="A39" s="32" t="s">
        <v>114</v>
      </c>
      <c r="B39" s="6" t="s">
        <v>56</v>
      </c>
      <c r="C39" s="6" t="s">
        <v>76</v>
      </c>
      <c r="D39" t="s">
        <v>57</v>
      </c>
      <c r="E39" t="s">
        <v>3</v>
      </c>
      <c r="H39" t="s">
        <v>3</v>
      </c>
      <c r="K39" t="s">
        <v>3</v>
      </c>
      <c r="Q39" t="s">
        <v>3</v>
      </c>
      <c r="T39" t="s">
        <v>3</v>
      </c>
      <c r="W39" t="s">
        <v>3</v>
      </c>
      <c r="Z39" s="1"/>
      <c r="AA39" s="1"/>
      <c r="AB39" s="1"/>
      <c r="AC39" t="s">
        <v>3</v>
      </c>
      <c r="AF39" t="s">
        <v>3</v>
      </c>
      <c r="AI39" t="s">
        <v>3</v>
      </c>
      <c r="AL39">
        <f t="shared" si="0"/>
        <v>0</v>
      </c>
      <c r="AM39" s="10">
        <f t="shared" si="1"/>
        <v>0</v>
      </c>
      <c r="AN39">
        <f t="shared" si="2"/>
        <v>9</v>
      </c>
      <c r="AO39" s="9">
        <f t="shared" si="3"/>
        <v>1</v>
      </c>
    </row>
    <row r="40" spans="1:41">
      <c r="A40" s="32" t="s">
        <v>115</v>
      </c>
      <c r="B40" s="6" t="s">
        <v>21</v>
      </c>
      <c r="C40" s="6" t="s">
        <v>76</v>
      </c>
      <c r="D40" t="s">
        <v>22</v>
      </c>
      <c r="E40" t="s">
        <v>3</v>
      </c>
      <c r="H40" t="s">
        <v>3</v>
      </c>
      <c r="K40" t="s">
        <v>3</v>
      </c>
      <c r="Q40" t="s">
        <v>3</v>
      </c>
      <c r="T40" t="s">
        <v>3</v>
      </c>
      <c r="W40" t="s">
        <v>3</v>
      </c>
      <c r="Z40" s="1"/>
      <c r="AA40" s="1"/>
      <c r="AB40" s="1"/>
      <c r="AC40" t="s">
        <v>3</v>
      </c>
      <c r="AF40" t="s">
        <v>3</v>
      </c>
      <c r="AI40" t="s">
        <v>3</v>
      </c>
      <c r="AL40">
        <f t="shared" si="0"/>
        <v>0</v>
      </c>
      <c r="AM40" s="10">
        <f t="shared" si="1"/>
        <v>0</v>
      </c>
      <c r="AN40">
        <f t="shared" si="2"/>
        <v>9</v>
      </c>
      <c r="AO40" s="9">
        <f t="shared" si="3"/>
        <v>1</v>
      </c>
    </row>
    <row r="41" spans="1:41">
      <c r="A41" s="32" t="s">
        <v>116</v>
      </c>
      <c r="B41" s="6" t="s">
        <v>34</v>
      </c>
      <c r="C41" s="6" t="s">
        <v>77</v>
      </c>
      <c r="D41" t="s">
        <v>35</v>
      </c>
      <c r="E41" t="s">
        <v>3</v>
      </c>
      <c r="H41" t="s">
        <v>3</v>
      </c>
      <c r="K41" t="s">
        <v>3</v>
      </c>
      <c r="Q41" t="s">
        <v>3</v>
      </c>
      <c r="T41" t="s">
        <v>3</v>
      </c>
      <c r="W41" t="s">
        <v>3</v>
      </c>
      <c r="Z41" s="1"/>
      <c r="AA41" s="1"/>
      <c r="AB41" s="1"/>
      <c r="AC41" t="s">
        <v>3</v>
      </c>
      <c r="AF41" t="s">
        <v>3</v>
      </c>
      <c r="AI41" t="s">
        <v>3</v>
      </c>
      <c r="AL41">
        <f t="shared" si="0"/>
        <v>0</v>
      </c>
      <c r="AM41" s="10">
        <f t="shared" si="1"/>
        <v>0</v>
      </c>
      <c r="AN41">
        <f t="shared" si="2"/>
        <v>9</v>
      </c>
      <c r="AO41" s="9">
        <f t="shared" si="3"/>
        <v>1</v>
      </c>
    </row>
    <row r="42" spans="1:41">
      <c r="A42" s="32" t="s">
        <v>117</v>
      </c>
      <c r="B42" s="6" t="s">
        <v>39</v>
      </c>
      <c r="C42" s="6" t="s">
        <v>77</v>
      </c>
      <c r="D42" t="s">
        <v>40</v>
      </c>
      <c r="E42" t="s">
        <v>3</v>
      </c>
      <c r="H42" t="s">
        <v>3</v>
      </c>
      <c r="K42" t="s">
        <v>3</v>
      </c>
      <c r="Q42" t="s">
        <v>3</v>
      </c>
      <c r="T42" t="s">
        <v>3</v>
      </c>
      <c r="W42" t="s">
        <v>3</v>
      </c>
      <c r="Z42" s="1"/>
      <c r="AA42" s="1"/>
      <c r="AB42" s="1"/>
      <c r="AC42" t="s">
        <v>3</v>
      </c>
      <c r="AF42" t="s">
        <v>3</v>
      </c>
      <c r="AI42" t="s">
        <v>3</v>
      </c>
      <c r="AL42">
        <f t="shared" si="0"/>
        <v>0</v>
      </c>
      <c r="AM42" s="10">
        <f t="shared" si="1"/>
        <v>0</v>
      </c>
      <c r="AN42">
        <f t="shared" si="2"/>
        <v>9</v>
      </c>
      <c r="AO42" s="9">
        <f t="shared" si="3"/>
        <v>1</v>
      </c>
    </row>
    <row r="43" spans="1:41">
      <c r="A43" s="32" t="s">
        <v>118</v>
      </c>
      <c r="B43" s="6" t="s">
        <v>54</v>
      </c>
      <c r="C43" s="6" t="s">
        <v>77</v>
      </c>
      <c r="D43" t="s">
        <v>40</v>
      </c>
      <c r="E43" t="s">
        <v>3</v>
      </c>
      <c r="H43" t="s">
        <v>3</v>
      </c>
      <c r="K43" t="s">
        <v>3</v>
      </c>
      <c r="Q43" t="s">
        <v>3</v>
      </c>
      <c r="T43" t="s">
        <v>3</v>
      </c>
      <c r="W43" t="s">
        <v>3</v>
      </c>
      <c r="Z43" s="1"/>
      <c r="AA43" s="1"/>
      <c r="AB43" s="1"/>
      <c r="AC43" t="s">
        <v>3</v>
      </c>
      <c r="AF43" t="s">
        <v>3</v>
      </c>
      <c r="AI43" t="s">
        <v>3</v>
      </c>
      <c r="AL43">
        <f t="shared" si="0"/>
        <v>0</v>
      </c>
      <c r="AM43" s="10">
        <f t="shared" si="1"/>
        <v>0</v>
      </c>
      <c r="AN43">
        <f t="shared" si="2"/>
        <v>9</v>
      </c>
      <c r="AO43" s="9">
        <f t="shared" si="3"/>
        <v>1</v>
      </c>
    </row>
    <row r="44" spans="1:41">
      <c r="A44" s="32" t="s">
        <v>119</v>
      </c>
      <c r="B44" s="6" t="s">
        <v>69</v>
      </c>
      <c r="C44" s="6" t="s">
        <v>77</v>
      </c>
      <c r="D44" t="s">
        <v>70</v>
      </c>
      <c r="E44" s="1" t="s">
        <v>3</v>
      </c>
      <c r="F44" s="1"/>
      <c r="H44" t="s">
        <v>3</v>
      </c>
      <c r="K44" t="s">
        <v>3</v>
      </c>
      <c r="Q44" t="s">
        <v>3</v>
      </c>
      <c r="T44" t="s">
        <v>3</v>
      </c>
      <c r="W44" t="s">
        <v>3</v>
      </c>
      <c r="Z44" s="1"/>
      <c r="AA44" s="1"/>
      <c r="AB44" s="1"/>
      <c r="AC44" t="s">
        <v>3</v>
      </c>
      <c r="AF44" t="s">
        <v>3</v>
      </c>
      <c r="AI44" t="s">
        <v>3</v>
      </c>
      <c r="AL44">
        <f t="shared" si="0"/>
        <v>0</v>
      </c>
      <c r="AM44" s="10">
        <f t="shared" si="1"/>
        <v>0</v>
      </c>
      <c r="AN44">
        <f t="shared" si="2"/>
        <v>9</v>
      </c>
      <c r="AO44" s="9">
        <f t="shared" si="3"/>
        <v>1</v>
      </c>
    </row>
    <row r="45" spans="1:41">
      <c r="A45" s="32" t="s">
        <v>120</v>
      </c>
      <c r="B45" s="6" t="s">
        <v>67</v>
      </c>
      <c r="C45" s="6" t="s">
        <v>77</v>
      </c>
      <c r="D45" t="s">
        <v>68</v>
      </c>
      <c r="E45" t="s">
        <v>3</v>
      </c>
      <c r="H45" t="s">
        <v>3</v>
      </c>
      <c r="K45" t="s">
        <v>3</v>
      </c>
      <c r="Q45" t="s">
        <v>3</v>
      </c>
      <c r="T45" t="s">
        <v>3</v>
      </c>
      <c r="W45" t="s">
        <v>3</v>
      </c>
      <c r="Z45" s="1"/>
      <c r="AA45" s="1"/>
      <c r="AB45" s="1"/>
      <c r="AC45" t="s">
        <v>3</v>
      </c>
      <c r="AF45" t="s">
        <v>3</v>
      </c>
      <c r="AI45" t="s">
        <v>3</v>
      </c>
      <c r="AL45">
        <f t="shared" si="0"/>
        <v>0</v>
      </c>
      <c r="AM45" s="10">
        <f t="shared" si="1"/>
        <v>0</v>
      </c>
      <c r="AN45">
        <f t="shared" si="2"/>
        <v>9</v>
      </c>
      <c r="AO45" s="9">
        <f t="shared" si="3"/>
        <v>1</v>
      </c>
    </row>
    <row r="46" spans="1:41">
      <c r="A46" s="32" t="s">
        <v>121</v>
      </c>
      <c r="B46" s="7" t="s">
        <v>18</v>
      </c>
      <c r="C46" s="7" t="s">
        <v>77</v>
      </c>
      <c r="D46" s="1" t="s">
        <v>19</v>
      </c>
      <c r="E46" s="1"/>
      <c r="F46" s="1" t="s">
        <v>0</v>
      </c>
      <c r="G46" s="1"/>
      <c r="H46" s="1"/>
      <c r="I46" s="1" t="s">
        <v>0</v>
      </c>
      <c r="J46" s="1"/>
      <c r="K46" s="1"/>
      <c r="L46" s="1" t="s">
        <v>0</v>
      </c>
      <c r="M46" s="1"/>
      <c r="Q46" s="1"/>
      <c r="R46" s="1" t="s">
        <v>0</v>
      </c>
      <c r="S46" s="1"/>
      <c r="T46" t="s">
        <v>3</v>
      </c>
      <c r="W46" t="s">
        <v>3</v>
      </c>
      <c r="Z46" s="1"/>
      <c r="AA46" s="1"/>
      <c r="AB46" s="1"/>
      <c r="AC46" s="1"/>
      <c r="AD46" s="1" t="s">
        <v>0</v>
      </c>
      <c r="AE46" s="1"/>
      <c r="AF46" t="s">
        <v>3</v>
      </c>
      <c r="AI46" s="1"/>
      <c r="AJ46" s="1" t="s">
        <v>0</v>
      </c>
      <c r="AK46" s="1"/>
      <c r="AL46">
        <f t="shared" si="0"/>
        <v>6</v>
      </c>
      <c r="AM46" s="10">
        <f t="shared" si="1"/>
        <v>0.66666666666666663</v>
      </c>
      <c r="AN46">
        <f t="shared" si="2"/>
        <v>3</v>
      </c>
      <c r="AO46" s="9">
        <f t="shared" si="3"/>
        <v>0.33333333333333331</v>
      </c>
    </row>
    <row r="47" spans="1:41">
      <c r="A47" s="32" t="s">
        <v>122</v>
      </c>
      <c r="B47" s="7" t="s">
        <v>38</v>
      </c>
      <c r="C47" s="7" t="s">
        <v>77</v>
      </c>
      <c r="D47" s="1" t="s">
        <v>19</v>
      </c>
      <c r="E47" s="1"/>
      <c r="F47" s="1" t="s">
        <v>0</v>
      </c>
      <c r="G47" s="1"/>
      <c r="H47" s="1"/>
      <c r="I47" s="1" t="s">
        <v>0</v>
      </c>
      <c r="J47" s="1"/>
      <c r="K47" s="1"/>
      <c r="L47" s="1" t="s">
        <v>0</v>
      </c>
      <c r="M47" s="1"/>
      <c r="Q47" s="1"/>
      <c r="R47" s="1" t="s">
        <v>0</v>
      </c>
      <c r="S47" s="1"/>
      <c r="T47" s="1"/>
      <c r="U47" s="1" t="s">
        <v>0</v>
      </c>
      <c r="V47" s="1"/>
      <c r="W47" s="1"/>
      <c r="X47" s="1" t="s">
        <v>0</v>
      </c>
      <c r="Y47" s="1"/>
      <c r="Z47" s="1"/>
      <c r="AA47" s="1"/>
      <c r="AB47" s="1"/>
      <c r="AC47" s="1"/>
      <c r="AD47" s="1" t="s">
        <v>0</v>
      </c>
      <c r="AE47" s="1"/>
      <c r="AF47" s="1"/>
      <c r="AG47" s="1" t="s">
        <v>0</v>
      </c>
      <c r="AH47" s="1"/>
      <c r="AI47" s="1"/>
      <c r="AJ47" s="1" t="s">
        <v>0</v>
      </c>
      <c r="AK47" s="1"/>
      <c r="AL47">
        <f t="shared" si="0"/>
        <v>9</v>
      </c>
      <c r="AM47" s="10">
        <f t="shared" si="1"/>
        <v>1</v>
      </c>
      <c r="AN47">
        <f t="shared" si="2"/>
        <v>0</v>
      </c>
      <c r="AO47" s="9">
        <f t="shared" si="3"/>
        <v>0</v>
      </c>
    </row>
    <row r="48" spans="1:41">
      <c r="A48" s="32" t="s">
        <v>123</v>
      </c>
      <c r="B48" s="6" t="s">
        <v>58</v>
      </c>
      <c r="C48" s="6" t="s">
        <v>77</v>
      </c>
      <c r="D48" t="s">
        <v>19</v>
      </c>
      <c r="E48" t="s">
        <v>3</v>
      </c>
      <c r="H48" t="s">
        <v>3</v>
      </c>
      <c r="K48" t="s">
        <v>3</v>
      </c>
      <c r="Q48" t="s">
        <v>3</v>
      </c>
      <c r="T48" t="s">
        <v>3</v>
      </c>
      <c r="W48" t="s">
        <v>3</v>
      </c>
      <c r="Z48" s="1"/>
      <c r="AA48" s="1"/>
      <c r="AB48" s="1"/>
      <c r="AC48" t="s">
        <v>3</v>
      </c>
      <c r="AF48" t="s">
        <v>3</v>
      </c>
      <c r="AI48" t="s">
        <v>3</v>
      </c>
      <c r="AL48">
        <f t="shared" si="0"/>
        <v>0</v>
      </c>
      <c r="AM48" s="10">
        <f t="shared" si="1"/>
        <v>0</v>
      </c>
      <c r="AN48">
        <f t="shared" si="2"/>
        <v>9</v>
      </c>
      <c r="AO48" s="9">
        <f t="shared" si="3"/>
        <v>1</v>
      </c>
    </row>
    <row r="49" spans="1:41">
      <c r="A49" s="33">
        <v>44</v>
      </c>
      <c r="B49" s="6" t="s">
        <v>265</v>
      </c>
      <c r="C49" s="6" t="s">
        <v>266</v>
      </c>
      <c r="D49" t="s">
        <v>144</v>
      </c>
      <c r="E49" t="s">
        <v>3</v>
      </c>
      <c r="H49" t="s">
        <v>3</v>
      </c>
      <c r="K49" t="s">
        <v>3</v>
      </c>
      <c r="Q49" t="s">
        <v>3</v>
      </c>
      <c r="T49" t="s">
        <v>3</v>
      </c>
      <c r="W49" t="s">
        <v>3</v>
      </c>
      <c r="Z49" s="1"/>
      <c r="AA49" s="1"/>
      <c r="AB49" s="1"/>
      <c r="AC49" t="s">
        <v>3</v>
      </c>
      <c r="AF49" t="s">
        <v>3</v>
      </c>
      <c r="AI49" t="s">
        <v>3</v>
      </c>
      <c r="AL49">
        <f t="shared" si="0"/>
        <v>0</v>
      </c>
      <c r="AM49" s="10">
        <f t="shared" si="1"/>
        <v>0</v>
      </c>
      <c r="AN49">
        <f t="shared" si="2"/>
        <v>9</v>
      </c>
      <c r="AO49" s="9">
        <f t="shared" si="3"/>
        <v>1</v>
      </c>
    </row>
    <row r="50" spans="1:41">
      <c r="A50" s="42" t="s">
        <v>124</v>
      </c>
      <c r="B50" s="42"/>
      <c r="C50" s="42"/>
      <c r="D50" s="42"/>
      <c r="AM50" s="10">
        <f t="shared" si="1"/>
        <v>0</v>
      </c>
      <c r="AN50">
        <f>COUNTIF(AN6:AN49,0)</f>
        <v>3</v>
      </c>
      <c r="AO50" s="9">
        <f t="shared" si="3"/>
        <v>1</v>
      </c>
    </row>
  </sheetData>
  <autoFilter ref="B3:B48"/>
  <mergeCells count="6">
    <mergeCell ref="AN4:AO4"/>
    <mergeCell ref="A50:D50"/>
    <mergeCell ref="D3:D5"/>
    <mergeCell ref="B3:B5"/>
    <mergeCell ref="C3:C5"/>
    <mergeCell ref="AL4:AM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opLeftCell="B1" workbookViewId="0">
      <selection activeCell="E12" sqref="E12"/>
    </sheetView>
  </sheetViews>
  <sheetFormatPr defaultRowHeight="14.5"/>
  <cols>
    <col min="2" max="2" width="12.08203125" bestFit="1" customWidth="1"/>
    <col min="4" max="4" width="10.9140625" bestFit="1" customWidth="1"/>
    <col min="5" max="5" width="16.58203125" bestFit="1" customWidth="1"/>
    <col min="6" max="6" width="10.75" bestFit="1" customWidth="1"/>
  </cols>
  <sheetData>
    <row r="1" spans="1:6" ht="15.5">
      <c r="B1" s="11" t="s">
        <v>213</v>
      </c>
      <c r="C1" s="11" t="s">
        <v>212</v>
      </c>
      <c r="D1" s="12" t="s">
        <v>125</v>
      </c>
      <c r="E1" s="47" t="s">
        <v>214</v>
      </c>
      <c r="F1" s="48"/>
    </row>
    <row r="2" spans="1:6" ht="15.5">
      <c r="B2" s="11"/>
      <c r="C2" s="11"/>
      <c r="D2" s="12"/>
      <c r="E2" s="12" t="s">
        <v>215</v>
      </c>
      <c r="F2" s="12" t="s">
        <v>276</v>
      </c>
    </row>
    <row r="3" spans="1:6">
      <c r="A3">
        <v>1</v>
      </c>
      <c r="B3" t="s">
        <v>216</v>
      </c>
      <c r="C3" t="s">
        <v>76</v>
      </c>
      <c r="D3" t="s">
        <v>217</v>
      </c>
      <c r="E3" s="22">
        <v>45766</v>
      </c>
      <c r="F3" t="s">
        <v>0</v>
      </c>
    </row>
    <row r="4" spans="1:6">
      <c r="A4">
        <v>2</v>
      </c>
      <c r="B4" t="s">
        <v>128</v>
      </c>
      <c r="C4" t="s">
        <v>76</v>
      </c>
      <c r="D4" t="s">
        <v>146</v>
      </c>
      <c r="E4" s="22">
        <v>45784</v>
      </c>
      <c r="F4" t="s">
        <v>0</v>
      </c>
    </row>
    <row r="5" spans="1:6">
      <c r="A5">
        <v>3</v>
      </c>
      <c r="B5" t="s">
        <v>218</v>
      </c>
      <c r="C5" t="s">
        <v>76</v>
      </c>
      <c r="D5" t="s">
        <v>173</v>
      </c>
      <c r="E5" s="22">
        <v>45936</v>
      </c>
      <c r="F5" t="s">
        <v>3</v>
      </c>
    </row>
    <row r="6" spans="1:6">
      <c r="A6">
        <v>4</v>
      </c>
      <c r="B6" t="s">
        <v>219</v>
      </c>
      <c r="C6" t="s">
        <v>77</v>
      </c>
      <c r="D6" t="s">
        <v>220</v>
      </c>
      <c r="E6" s="22">
        <v>45936</v>
      </c>
      <c r="F6" t="s">
        <v>3</v>
      </c>
    </row>
    <row r="7" spans="1:6">
      <c r="A7">
        <v>5</v>
      </c>
      <c r="B7" t="s">
        <v>221</v>
      </c>
      <c r="C7" t="s">
        <v>77</v>
      </c>
      <c r="D7" t="s">
        <v>54</v>
      </c>
      <c r="E7" s="22">
        <v>45936</v>
      </c>
      <c r="F7" t="s">
        <v>3</v>
      </c>
    </row>
    <row r="8" spans="1:6">
      <c r="A8">
        <v>6</v>
      </c>
      <c r="B8" t="s">
        <v>277</v>
      </c>
      <c r="C8" t="s">
        <v>77</v>
      </c>
      <c r="D8" t="s">
        <v>127</v>
      </c>
      <c r="E8" t="s">
        <v>225</v>
      </c>
      <c r="F8" t="s">
        <v>0</v>
      </c>
    </row>
    <row r="9" spans="1:6">
      <c r="A9">
        <v>7</v>
      </c>
      <c r="B9" t="s">
        <v>222</v>
      </c>
      <c r="C9" t="s">
        <v>77</v>
      </c>
      <c r="D9" t="s">
        <v>154</v>
      </c>
      <c r="E9" s="22">
        <v>45936</v>
      </c>
      <c r="F9" t="s">
        <v>3</v>
      </c>
    </row>
    <row r="10" spans="1:6">
      <c r="A10">
        <v>8</v>
      </c>
      <c r="B10" t="s">
        <v>223</v>
      </c>
      <c r="C10" t="s">
        <v>79</v>
      </c>
      <c r="D10" t="s">
        <v>224</v>
      </c>
      <c r="E10" s="21">
        <v>45640</v>
      </c>
      <c r="F10" t="s">
        <v>0</v>
      </c>
    </row>
    <row r="11" spans="1:6">
      <c r="B11" t="s">
        <v>124</v>
      </c>
      <c r="F11">
        <f>COUNTIF(F3:F10,"YES")</f>
        <v>4</v>
      </c>
    </row>
    <row r="12" spans="1:6">
      <c r="B12" t="s">
        <v>230</v>
      </c>
      <c r="F12" s="10">
        <f>F11/8</f>
        <v>0.5</v>
      </c>
    </row>
  </sheetData>
  <autoFilter ref="F1:F12"/>
  <mergeCells count="1">
    <mergeCell ref="E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I22" sqref="I22"/>
    </sheetView>
  </sheetViews>
  <sheetFormatPr defaultRowHeight="14.5"/>
  <cols>
    <col min="1" max="1" width="3.4140625" bestFit="1" customWidth="1"/>
    <col min="3" max="3" width="9.1640625" bestFit="1" customWidth="1"/>
  </cols>
  <sheetData>
    <row r="1" spans="1:5">
      <c r="A1" s="27" t="s">
        <v>238</v>
      </c>
      <c r="B1" s="27" t="s">
        <v>239</v>
      </c>
      <c r="C1" t="s">
        <v>75</v>
      </c>
      <c r="D1" t="s">
        <v>7</v>
      </c>
    </row>
    <row r="2" spans="1:5">
      <c r="A2">
        <v>1</v>
      </c>
      <c r="B2" t="s">
        <v>240</v>
      </c>
      <c r="C2" t="s">
        <v>79</v>
      </c>
      <c r="D2" t="s">
        <v>42</v>
      </c>
      <c r="E2" t="s">
        <v>3</v>
      </c>
    </row>
    <row r="3" spans="1:5">
      <c r="A3">
        <v>2</v>
      </c>
      <c r="B3" t="s">
        <v>59</v>
      </c>
      <c r="C3" t="s">
        <v>79</v>
      </c>
      <c r="D3" t="s">
        <v>59</v>
      </c>
      <c r="E3" t="s">
        <v>3</v>
      </c>
    </row>
    <row r="4" spans="1:5">
      <c r="A4">
        <v>3</v>
      </c>
      <c r="B4" t="s">
        <v>241</v>
      </c>
      <c r="C4" t="s">
        <v>77</v>
      </c>
      <c r="D4" t="s">
        <v>137</v>
      </c>
      <c r="E4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11"/>
  <sheetViews>
    <sheetView workbookViewId="0">
      <selection activeCell="F14" sqref="F14"/>
    </sheetView>
  </sheetViews>
  <sheetFormatPr defaultRowHeight="14.5"/>
  <cols>
    <col min="2" max="2" width="12.9140625" bestFit="1" customWidth="1"/>
    <col min="4" max="4" width="12.25" bestFit="1" customWidth="1"/>
    <col min="5" max="5" width="11.08203125" bestFit="1" customWidth="1"/>
    <col min="7" max="7" width="15.33203125" bestFit="1" customWidth="1"/>
  </cols>
  <sheetData>
    <row r="2" spans="1:7" ht="15.5">
      <c r="B2" s="51" t="s">
        <v>213</v>
      </c>
      <c r="C2" s="51" t="s">
        <v>212</v>
      </c>
      <c r="D2" s="53" t="s">
        <v>125</v>
      </c>
      <c r="E2" s="49" t="s">
        <v>214</v>
      </c>
      <c r="F2" s="50"/>
      <c r="G2" s="50"/>
    </row>
    <row r="3" spans="1:7" ht="15.5">
      <c r="B3" s="52"/>
      <c r="C3" s="52"/>
      <c r="D3" s="54"/>
      <c r="E3" s="12" t="s">
        <v>215</v>
      </c>
      <c r="F3" s="12" t="s">
        <v>236</v>
      </c>
      <c r="G3" s="25" t="s">
        <v>237</v>
      </c>
    </row>
    <row r="4" spans="1:7">
      <c r="A4">
        <v>1</v>
      </c>
      <c r="B4" t="s">
        <v>226</v>
      </c>
      <c r="C4" t="s">
        <v>78</v>
      </c>
      <c r="D4" t="s">
        <v>227</v>
      </c>
      <c r="E4" s="20">
        <v>45684</v>
      </c>
      <c r="F4" t="s">
        <v>0</v>
      </c>
      <c r="G4" t="s">
        <v>0</v>
      </c>
    </row>
    <row r="5" spans="1:7">
      <c r="A5">
        <v>2</v>
      </c>
      <c r="B5" t="s">
        <v>228</v>
      </c>
      <c r="C5" t="s">
        <v>78</v>
      </c>
      <c r="D5" t="s">
        <v>229</v>
      </c>
      <c r="E5" s="20">
        <v>45834</v>
      </c>
      <c r="F5" t="s">
        <v>0</v>
      </c>
      <c r="G5" t="s">
        <v>0</v>
      </c>
    </row>
    <row r="6" spans="1:7">
      <c r="A6">
        <v>3</v>
      </c>
      <c r="B6" t="s">
        <v>231</v>
      </c>
      <c r="C6" t="s">
        <v>80</v>
      </c>
      <c r="D6" t="s">
        <v>235</v>
      </c>
      <c r="E6" s="21">
        <v>45935</v>
      </c>
      <c r="F6" t="s">
        <v>3</v>
      </c>
      <c r="G6" t="s">
        <v>3</v>
      </c>
    </row>
    <row r="7" spans="1:7" ht="29">
      <c r="A7">
        <v>4</v>
      </c>
      <c r="B7" s="24" t="s">
        <v>232</v>
      </c>
      <c r="C7" s="30" t="s">
        <v>78</v>
      </c>
      <c r="D7" s="31" t="s">
        <v>64</v>
      </c>
      <c r="E7" s="21">
        <v>45936</v>
      </c>
      <c r="F7" t="s">
        <v>3</v>
      </c>
      <c r="G7" t="s">
        <v>3</v>
      </c>
    </row>
    <row r="8" spans="1:7" ht="29">
      <c r="A8">
        <v>5</v>
      </c>
      <c r="B8" t="s">
        <v>233</v>
      </c>
      <c r="C8" s="30" t="s">
        <v>76</v>
      </c>
      <c r="D8" s="31" t="s">
        <v>48</v>
      </c>
      <c r="E8" s="21">
        <v>45760</v>
      </c>
      <c r="F8" t="s">
        <v>0</v>
      </c>
      <c r="G8" t="s">
        <v>0</v>
      </c>
    </row>
    <row r="9" spans="1:7">
      <c r="A9">
        <v>6</v>
      </c>
      <c r="B9" t="s">
        <v>234</v>
      </c>
      <c r="C9" t="s">
        <v>78</v>
      </c>
      <c r="D9" t="s">
        <v>229</v>
      </c>
      <c r="E9" s="21">
        <v>45936</v>
      </c>
      <c r="F9" t="s">
        <v>3</v>
      </c>
      <c r="G9" t="s">
        <v>3</v>
      </c>
    </row>
    <row r="10" spans="1:7">
      <c r="B10" t="s">
        <v>124</v>
      </c>
      <c r="F10">
        <f>COUNTIF(F4:F9,"YES")</f>
        <v>3</v>
      </c>
      <c r="G10">
        <f>COUNTIF(G4:G9,"YES")</f>
        <v>3</v>
      </c>
    </row>
    <row r="11" spans="1:7">
      <c r="B11" t="s">
        <v>230</v>
      </c>
      <c r="F11" s="9">
        <f>F10/9</f>
        <v>0.33333333333333331</v>
      </c>
      <c r="G11" s="9">
        <f>G10/9</f>
        <v>0.33333333333333331</v>
      </c>
    </row>
  </sheetData>
  <autoFilter ref="F2:F21"/>
  <mergeCells count="4">
    <mergeCell ref="E2:G2"/>
    <mergeCell ref="B2:B3"/>
    <mergeCell ref="C2:C3"/>
    <mergeCell ref="D2:D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4"/>
  <sheetViews>
    <sheetView topLeftCell="A50" workbookViewId="0">
      <selection activeCell="B1" sqref="B1:F2"/>
    </sheetView>
  </sheetViews>
  <sheetFormatPr defaultRowHeight="14.5"/>
  <cols>
    <col min="2" max="2" width="14.33203125" bestFit="1" customWidth="1"/>
    <col min="3" max="3" width="14.33203125" customWidth="1"/>
    <col min="4" max="4" width="10.5" bestFit="1" customWidth="1"/>
    <col min="5" max="5" width="17.5" bestFit="1" customWidth="1"/>
    <col min="6" max="6" width="17.5" customWidth="1"/>
  </cols>
  <sheetData>
    <row r="1" spans="1:6" ht="15.5">
      <c r="A1" s="11"/>
      <c r="B1" s="11" t="s">
        <v>213</v>
      </c>
      <c r="C1" s="11" t="s">
        <v>212</v>
      </c>
      <c r="D1" s="12" t="s">
        <v>125</v>
      </c>
      <c r="E1" s="47" t="s">
        <v>214</v>
      </c>
      <c r="F1" s="48"/>
    </row>
    <row r="2" spans="1:6" ht="15.5">
      <c r="A2" s="11"/>
      <c r="B2" s="11"/>
      <c r="C2" s="11"/>
      <c r="D2" s="12"/>
      <c r="E2" s="12" t="s">
        <v>215</v>
      </c>
      <c r="F2" s="12" t="s">
        <v>276</v>
      </c>
    </row>
    <row r="3" spans="1:6">
      <c r="A3" s="13">
        <v>1</v>
      </c>
      <c r="B3" s="16" t="s">
        <v>211</v>
      </c>
      <c r="C3" s="16" t="s">
        <v>79</v>
      </c>
      <c r="D3" s="16" t="s">
        <v>5</v>
      </c>
      <c r="E3" s="19">
        <v>45811</v>
      </c>
      <c r="F3" s="16" t="s">
        <v>0</v>
      </c>
    </row>
    <row r="4" spans="1:6">
      <c r="A4" s="13">
        <v>2</v>
      </c>
      <c r="B4" s="15" t="s">
        <v>160</v>
      </c>
      <c r="C4" s="15" t="s">
        <v>79</v>
      </c>
      <c r="D4" s="15" t="s">
        <v>5</v>
      </c>
      <c r="E4" s="18">
        <v>45936</v>
      </c>
      <c r="F4" s="15" t="s">
        <v>3</v>
      </c>
    </row>
    <row r="5" spans="1:6">
      <c r="A5" s="13">
        <v>3</v>
      </c>
      <c r="B5" s="15" t="s">
        <v>204</v>
      </c>
      <c r="C5" s="15" t="s">
        <v>79</v>
      </c>
      <c r="D5" s="15" t="s">
        <v>149</v>
      </c>
      <c r="E5" s="18">
        <v>45936</v>
      </c>
      <c r="F5" s="15" t="s">
        <v>3</v>
      </c>
    </row>
    <row r="6" spans="1:6">
      <c r="A6" s="13">
        <v>4</v>
      </c>
      <c r="B6" s="15" t="s">
        <v>194</v>
      </c>
      <c r="C6" s="15" t="s">
        <v>79</v>
      </c>
      <c r="D6" s="15" t="s">
        <v>149</v>
      </c>
      <c r="E6" s="18">
        <v>45936</v>
      </c>
      <c r="F6" s="15" t="s">
        <v>3</v>
      </c>
    </row>
    <row r="7" spans="1:6">
      <c r="A7" s="13">
        <v>5</v>
      </c>
      <c r="B7" s="15" t="s">
        <v>148</v>
      </c>
      <c r="C7" s="15" t="s">
        <v>79</v>
      </c>
      <c r="D7" s="15" t="s">
        <v>149</v>
      </c>
      <c r="E7" s="18">
        <v>45936</v>
      </c>
      <c r="F7" s="15" t="s">
        <v>3</v>
      </c>
    </row>
    <row r="8" spans="1:6">
      <c r="A8" s="13">
        <v>6</v>
      </c>
      <c r="B8" s="15" t="s">
        <v>175</v>
      </c>
      <c r="C8" s="15" t="s">
        <v>79</v>
      </c>
      <c r="D8" s="15" t="s">
        <v>149</v>
      </c>
      <c r="E8" s="18">
        <v>45936</v>
      </c>
      <c r="F8" s="15" t="s">
        <v>3</v>
      </c>
    </row>
    <row r="9" spans="1:6">
      <c r="A9" s="13">
        <v>7</v>
      </c>
      <c r="B9" s="15" t="s">
        <v>176</v>
      </c>
      <c r="C9" s="15" t="s">
        <v>79</v>
      </c>
      <c r="D9" s="15" t="s">
        <v>44</v>
      </c>
      <c r="E9" s="18">
        <v>45830</v>
      </c>
      <c r="F9" s="15" t="s">
        <v>0</v>
      </c>
    </row>
    <row r="10" spans="1:6">
      <c r="A10" s="13">
        <v>8</v>
      </c>
      <c r="B10" s="15" t="s">
        <v>178</v>
      </c>
      <c r="C10" s="15" t="s">
        <v>79</v>
      </c>
      <c r="D10" s="15" t="s">
        <v>44</v>
      </c>
      <c r="E10" s="18">
        <v>45743</v>
      </c>
      <c r="F10" s="15" t="s">
        <v>0</v>
      </c>
    </row>
    <row r="11" spans="1:6">
      <c r="A11" s="13">
        <v>9</v>
      </c>
      <c r="B11" s="15" t="s">
        <v>179</v>
      </c>
      <c r="C11" s="15" t="s">
        <v>79</v>
      </c>
      <c r="D11" s="15" t="s">
        <v>180</v>
      </c>
      <c r="E11" s="18">
        <v>45800</v>
      </c>
      <c r="F11" s="15" t="s">
        <v>0</v>
      </c>
    </row>
    <row r="12" spans="1:6">
      <c r="A12" s="13">
        <v>10</v>
      </c>
      <c r="B12" s="15" t="s">
        <v>203</v>
      </c>
      <c r="C12" s="15" t="s">
        <v>79</v>
      </c>
      <c r="D12" s="15" t="s">
        <v>44</v>
      </c>
      <c r="E12" s="18">
        <v>45762</v>
      </c>
      <c r="F12" s="15" t="s">
        <v>0</v>
      </c>
    </row>
    <row r="13" spans="1:6">
      <c r="A13" s="13">
        <v>11</v>
      </c>
      <c r="B13" s="15" t="s">
        <v>210</v>
      </c>
      <c r="C13" s="15" t="s">
        <v>79</v>
      </c>
      <c r="D13" s="15" t="s">
        <v>42</v>
      </c>
      <c r="E13" s="18">
        <v>45936</v>
      </c>
      <c r="F13" s="15" t="s">
        <v>3</v>
      </c>
    </row>
    <row r="14" spans="1:6">
      <c r="A14" s="13">
        <v>12</v>
      </c>
      <c r="B14" s="15" t="s">
        <v>155</v>
      </c>
      <c r="C14" s="15" t="s">
        <v>79</v>
      </c>
      <c r="D14" s="15" t="s">
        <v>42</v>
      </c>
      <c r="E14" s="18">
        <v>45822</v>
      </c>
      <c r="F14" s="15" t="s">
        <v>0</v>
      </c>
    </row>
    <row r="15" spans="1:6">
      <c r="A15" s="13">
        <v>13</v>
      </c>
      <c r="B15" s="15" t="s">
        <v>169</v>
      </c>
      <c r="C15" s="15" t="s">
        <v>79</v>
      </c>
      <c r="D15" s="15" t="s">
        <v>42</v>
      </c>
      <c r="E15" s="18">
        <v>45936</v>
      </c>
      <c r="F15" s="15" t="s">
        <v>3</v>
      </c>
    </row>
    <row r="16" spans="1:6">
      <c r="A16" s="13">
        <v>14</v>
      </c>
      <c r="B16" s="17" t="s">
        <v>205</v>
      </c>
      <c r="C16" s="17" t="s">
        <v>79</v>
      </c>
      <c r="D16" s="17" t="s">
        <v>59</v>
      </c>
      <c r="E16" s="18">
        <v>45900</v>
      </c>
      <c r="F16" s="17" t="s">
        <v>3</v>
      </c>
    </row>
    <row r="17" spans="1:6">
      <c r="A17" s="13">
        <v>15</v>
      </c>
      <c r="B17" s="15" t="s">
        <v>168</v>
      </c>
      <c r="C17" s="15" t="s">
        <v>79</v>
      </c>
      <c r="D17" s="15" t="s">
        <v>59</v>
      </c>
      <c r="E17" s="18">
        <v>45895</v>
      </c>
      <c r="F17" s="15" t="s">
        <v>0</v>
      </c>
    </row>
    <row r="18" spans="1:6">
      <c r="A18" s="13">
        <v>16</v>
      </c>
      <c r="B18" s="15" t="s">
        <v>161</v>
      </c>
      <c r="C18" s="15" t="s">
        <v>79</v>
      </c>
      <c r="D18" s="15" t="s">
        <v>4</v>
      </c>
      <c r="E18" s="18">
        <v>45936</v>
      </c>
      <c r="F18" s="15" t="s">
        <v>3</v>
      </c>
    </row>
    <row r="19" spans="1:6">
      <c r="A19" s="13">
        <v>17</v>
      </c>
      <c r="B19" s="15" t="s">
        <v>140</v>
      </c>
      <c r="C19" s="15" t="s">
        <v>79</v>
      </c>
      <c r="D19" s="15" t="s">
        <v>4</v>
      </c>
      <c r="E19" s="18">
        <v>45798</v>
      </c>
      <c r="F19" s="15" t="s">
        <v>0</v>
      </c>
    </row>
    <row r="20" spans="1:6">
      <c r="A20" s="13">
        <v>18</v>
      </c>
      <c r="B20" s="15" t="s">
        <v>132</v>
      </c>
      <c r="C20" s="15" t="s">
        <v>79</v>
      </c>
      <c r="D20" s="15" t="s">
        <v>5</v>
      </c>
      <c r="E20" s="18">
        <v>45936</v>
      </c>
      <c r="F20" s="15" t="s">
        <v>3</v>
      </c>
    </row>
    <row r="21" spans="1:6">
      <c r="A21" s="13">
        <v>19</v>
      </c>
      <c r="B21" s="15" t="s">
        <v>183</v>
      </c>
      <c r="C21" s="15" t="s">
        <v>80</v>
      </c>
      <c r="D21" s="15" t="s">
        <v>184</v>
      </c>
      <c r="E21" s="18">
        <v>45754</v>
      </c>
      <c r="F21" s="15" t="s">
        <v>0</v>
      </c>
    </row>
    <row r="22" spans="1:6">
      <c r="A22" s="13">
        <v>20</v>
      </c>
      <c r="B22" s="15" t="s">
        <v>141</v>
      </c>
      <c r="C22" s="15" t="s">
        <v>80</v>
      </c>
      <c r="D22" s="15" t="s">
        <v>27</v>
      </c>
      <c r="E22" s="18">
        <v>45751</v>
      </c>
      <c r="F22" s="15" t="s">
        <v>0</v>
      </c>
    </row>
    <row r="23" spans="1:6">
      <c r="A23" s="13">
        <v>21</v>
      </c>
      <c r="B23" s="15" t="s">
        <v>189</v>
      </c>
      <c r="C23" s="15" t="s">
        <v>80</v>
      </c>
      <c r="D23" s="15" t="s">
        <v>27</v>
      </c>
      <c r="E23" s="18">
        <v>45936</v>
      </c>
      <c r="F23" s="15" t="s">
        <v>3</v>
      </c>
    </row>
    <row r="24" spans="1:6">
      <c r="A24" s="13">
        <v>22</v>
      </c>
      <c r="B24" s="15" t="s">
        <v>152</v>
      </c>
      <c r="C24" s="15" t="s">
        <v>80</v>
      </c>
      <c r="D24" s="15" t="s">
        <v>27</v>
      </c>
      <c r="E24" s="18">
        <v>45707</v>
      </c>
      <c r="F24" s="15" t="s">
        <v>0</v>
      </c>
    </row>
    <row r="25" spans="1:6">
      <c r="A25" s="13">
        <v>23</v>
      </c>
      <c r="B25" s="15" t="s">
        <v>150</v>
      </c>
      <c r="C25" s="15" t="s">
        <v>80</v>
      </c>
      <c r="D25" s="15" t="s">
        <v>2</v>
      </c>
      <c r="E25" s="18">
        <v>45936</v>
      </c>
      <c r="F25" s="15" t="s">
        <v>3</v>
      </c>
    </row>
    <row r="26" spans="1:6">
      <c r="A26" s="13">
        <v>24</v>
      </c>
      <c r="B26" s="15" t="s">
        <v>174</v>
      </c>
      <c r="C26" s="15" t="s">
        <v>80</v>
      </c>
      <c r="D26" s="15" t="s">
        <v>2</v>
      </c>
      <c r="E26" s="18">
        <v>45936</v>
      </c>
      <c r="F26" s="15" t="s">
        <v>3</v>
      </c>
    </row>
    <row r="27" spans="1:6">
      <c r="A27" s="13">
        <v>25</v>
      </c>
      <c r="B27" s="15" t="s">
        <v>206</v>
      </c>
      <c r="C27" s="15" t="s">
        <v>78</v>
      </c>
      <c r="D27" s="15" t="s">
        <v>207</v>
      </c>
      <c r="E27" s="18">
        <v>45936</v>
      </c>
      <c r="F27" s="15" t="s">
        <v>3</v>
      </c>
    </row>
    <row r="28" spans="1:6">
      <c r="A28" s="13">
        <v>26</v>
      </c>
      <c r="B28" s="15" t="s">
        <v>74</v>
      </c>
      <c r="C28" s="15" t="s">
        <v>78</v>
      </c>
      <c r="D28" s="15" t="s">
        <v>165</v>
      </c>
      <c r="E28" s="18">
        <v>45936</v>
      </c>
      <c r="F28" s="15" t="s">
        <v>3</v>
      </c>
    </row>
    <row r="29" spans="1:6">
      <c r="A29" s="13">
        <v>27</v>
      </c>
      <c r="B29" s="15" t="s">
        <v>166</v>
      </c>
      <c r="C29" s="15" t="s">
        <v>78</v>
      </c>
      <c r="D29" s="15" t="s">
        <v>165</v>
      </c>
      <c r="E29" s="18">
        <v>45936</v>
      </c>
      <c r="F29" s="15" t="s">
        <v>3</v>
      </c>
    </row>
    <row r="30" spans="1:6">
      <c r="A30" s="13">
        <v>28</v>
      </c>
      <c r="B30" s="15" t="s">
        <v>192</v>
      </c>
      <c r="C30" s="15" t="s">
        <v>78</v>
      </c>
      <c r="D30" s="15" t="s">
        <v>165</v>
      </c>
      <c r="E30" s="18">
        <v>45773</v>
      </c>
      <c r="F30" s="15" t="s">
        <v>0</v>
      </c>
    </row>
    <row r="31" spans="1:6">
      <c r="A31" s="13">
        <v>29</v>
      </c>
      <c r="B31" s="15" t="s">
        <v>208</v>
      </c>
      <c r="C31" s="15" t="s">
        <v>78</v>
      </c>
      <c r="D31" s="15" t="s">
        <v>165</v>
      </c>
      <c r="E31" s="18">
        <v>45896</v>
      </c>
      <c r="F31" s="15" t="s">
        <v>3</v>
      </c>
    </row>
    <row r="32" spans="1:6">
      <c r="A32" s="13">
        <v>30</v>
      </c>
      <c r="B32" s="15" t="s">
        <v>20</v>
      </c>
      <c r="C32" s="15" t="s">
        <v>78</v>
      </c>
      <c r="D32" s="15" t="s">
        <v>181</v>
      </c>
      <c r="E32" s="18">
        <v>45830</v>
      </c>
      <c r="F32" s="15" t="s">
        <v>0</v>
      </c>
    </row>
    <row r="33" spans="1:6">
      <c r="A33" s="13">
        <v>31</v>
      </c>
      <c r="B33" s="15" t="s">
        <v>170</v>
      </c>
      <c r="C33" s="15" t="s">
        <v>78</v>
      </c>
      <c r="D33" s="15" t="s">
        <v>171</v>
      </c>
      <c r="E33" s="18">
        <v>45823</v>
      </c>
      <c r="F33" s="15" t="s">
        <v>0</v>
      </c>
    </row>
    <row r="34" spans="1:6">
      <c r="A34" s="13">
        <v>32</v>
      </c>
      <c r="B34" s="15" t="s">
        <v>135</v>
      </c>
      <c r="C34" s="15" t="s">
        <v>78</v>
      </c>
      <c r="D34" s="15" t="s">
        <v>61</v>
      </c>
      <c r="E34" s="18">
        <v>45888</v>
      </c>
      <c r="F34" s="15" t="s">
        <v>0</v>
      </c>
    </row>
    <row r="35" spans="1:6">
      <c r="A35" s="13">
        <v>33</v>
      </c>
      <c r="B35" s="15" t="s">
        <v>133</v>
      </c>
      <c r="C35" s="15" t="s">
        <v>78</v>
      </c>
      <c r="D35" s="15" t="s">
        <v>61</v>
      </c>
      <c r="E35" s="18">
        <v>45936</v>
      </c>
      <c r="F35" s="15" t="s">
        <v>3</v>
      </c>
    </row>
    <row r="36" spans="1:6">
      <c r="A36" s="13">
        <v>34</v>
      </c>
      <c r="B36" s="15" t="s">
        <v>138</v>
      </c>
      <c r="C36" s="15" t="s">
        <v>78</v>
      </c>
      <c r="D36" s="15" t="s">
        <v>61</v>
      </c>
      <c r="E36" s="18">
        <v>45936</v>
      </c>
      <c r="F36" s="15" t="s">
        <v>3</v>
      </c>
    </row>
    <row r="37" spans="1:6">
      <c r="A37" s="13">
        <v>35</v>
      </c>
      <c r="B37" s="15" t="s">
        <v>209</v>
      </c>
      <c r="C37" s="15" t="s">
        <v>78</v>
      </c>
      <c r="D37" s="15" t="s">
        <v>61</v>
      </c>
      <c r="E37" s="18">
        <v>45926</v>
      </c>
      <c r="F37" s="15" t="s">
        <v>3</v>
      </c>
    </row>
    <row r="38" spans="1:6">
      <c r="A38" s="13">
        <v>36</v>
      </c>
      <c r="B38" s="15" t="s">
        <v>142</v>
      </c>
      <c r="C38" s="15" t="s">
        <v>76</v>
      </c>
      <c r="D38" s="15" t="s">
        <v>131</v>
      </c>
      <c r="E38" s="18">
        <v>45936</v>
      </c>
      <c r="F38" s="15" t="s">
        <v>3</v>
      </c>
    </row>
    <row r="39" spans="1:6">
      <c r="A39" s="13">
        <v>37</v>
      </c>
      <c r="B39" s="15" t="s">
        <v>190</v>
      </c>
      <c r="C39" s="15" t="s">
        <v>76</v>
      </c>
      <c r="D39" s="15" t="s">
        <v>131</v>
      </c>
      <c r="E39" s="18">
        <v>45728</v>
      </c>
      <c r="F39" s="15" t="s">
        <v>0</v>
      </c>
    </row>
    <row r="40" spans="1:6">
      <c r="A40" s="13">
        <v>38</v>
      </c>
      <c r="B40" s="15" t="s">
        <v>130</v>
      </c>
      <c r="C40" s="15" t="s">
        <v>76</v>
      </c>
      <c r="D40" s="15" t="s">
        <v>131</v>
      </c>
      <c r="E40" s="18">
        <v>45782</v>
      </c>
      <c r="F40" s="15" t="s">
        <v>0</v>
      </c>
    </row>
    <row r="41" spans="1:6">
      <c r="A41" s="13">
        <v>39</v>
      </c>
      <c r="B41" s="15" t="s">
        <v>151</v>
      </c>
      <c r="C41" s="15" t="s">
        <v>76</v>
      </c>
      <c r="D41" s="15" t="s">
        <v>17</v>
      </c>
      <c r="E41" s="18">
        <v>45936</v>
      </c>
      <c r="F41" s="15" t="s">
        <v>3</v>
      </c>
    </row>
    <row r="42" spans="1:6">
      <c r="A42" s="13">
        <v>40</v>
      </c>
      <c r="B42" s="15" t="s">
        <v>195</v>
      </c>
      <c r="C42" s="15" t="s">
        <v>76</v>
      </c>
      <c r="D42" s="15" t="s">
        <v>17</v>
      </c>
      <c r="E42" s="18">
        <v>45936</v>
      </c>
      <c r="F42" s="15" t="s">
        <v>3</v>
      </c>
    </row>
    <row r="43" spans="1:6">
      <c r="A43" s="13">
        <v>41</v>
      </c>
      <c r="B43" s="15" t="s">
        <v>201</v>
      </c>
      <c r="C43" s="15" t="s">
        <v>76</v>
      </c>
      <c r="D43" s="15" t="s">
        <v>17</v>
      </c>
      <c r="E43" s="18">
        <v>45739</v>
      </c>
      <c r="F43" s="15" t="s">
        <v>0</v>
      </c>
    </row>
    <row r="44" spans="1:6">
      <c r="A44" s="13">
        <v>42</v>
      </c>
      <c r="B44" s="15" t="s">
        <v>139</v>
      </c>
      <c r="C44" s="15" t="s">
        <v>76</v>
      </c>
      <c r="D44" s="15" t="s">
        <v>17</v>
      </c>
      <c r="E44" s="18">
        <v>45936</v>
      </c>
      <c r="F44" s="15" t="s">
        <v>3</v>
      </c>
    </row>
    <row r="45" spans="1:6">
      <c r="A45" s="13">
        <v>43</v>
      </c>
      <c r="B45" s="15" t="s">
        <v>163</v>
      </c>
      <c r="C45" s="15" t="s">
        <v>76</v>
      </c>
      <c r="D45" s="15" t="s">
        <v>164</v>
      </c>
      <c r="E45" s="18">
        <v>45936</v>
      </c>
      <c r="F45" s="15" t="s">
        <v>3</v>
      </c>
    </row>
    <row r="46" spans="1:6">
      <c r="A46" s="13">
        <v>44</v>
      </c>
      <c r="B46" s="15" t="s">
        <v>156</v>
      </c>
      <c r="C46" s="15" t="s">
        <v>76</v>
      </c>
      <c r="D46" s="15" t="s">
        <v>157</v>
      </c>
      <c r="E46" s="18">
        <v>45728</v>
      </c>
      <c r="F46" s="15" t="s">
        <v>0</v>
      </c>
    </row>
    <row r="47" spans="1:6">
      <c r="A47" s="13">
        <v>45</v>
      </c>
      <c r="B47" s="15" t="s">
        <v>177</v>
      </c>
      <c r="C47" s="15" t="s">
        <v>76</v>
      </c>
      <c r="D47" s="15" t="s">
        <v>157</v>
      </c>
      <c r="E47" s="18">
        <v>45936</v>
      </c>
      <c r="F47" s="15" t="s">
        <v>3</v>
      </c>
    </row>
    <row r="48" spans="1:6">
      <c r="A48" s="13">
        <v>46</v>
      </c>
      <c r="B48" s="15" t="s">
        <v>162</v>
      </c>
      <c r="C48" s="15" t="s">
        <v>76</v>
      </c>
      <c r="D48" s="15" t="s">
        <v>146</v>
      </c>
      <c r="E48" s="18">
        <v>45936</v>
      </c>
      <c r="F48" s="15" t="s">
        <v>3</v>
      </c>
    </row>
    <row r="49" spans="1:6">
      <c r="A49" s="13">
        <v>47</v>
      </c>
      <c r="B49" s="15" t="s">
        <v>145</v>
      </c>
      <c r="C49" s="15" t="s">
        <v>76</v>
      </c>
      <c r="D49" s="15" t="s">
        <v>146</v>
      </c>
      <c r="E49" s="18">
        <v>45681</v>
      </c>
      <c r="F49" s="15" t="s">
        <v>0</v>
      </c>
    </row>
    <row r="50" spans="1:6">
      <c r="A50" s="13">
        <v>48</v>
      </c>
      <c r="B50" s="16" t="s">
        <v>186</v>
      </c>
      <c r="C50" s="16" t="s">
        <v>76</v>
      </c>
      <c r="D50" s="16" t="s">
        <v>173</v>
      </c>
      <c r="E50" s="19">
        <v>45752</v>
      </c>
      <c r="F50" s="16" t="s">
        <v>0</v>
      </c>
    </row>
    <row r="51" spans="1:6">
      <c r="A51" s="13">
        <v>49</v>
      </c>
      <c r="B51" s="15" t="s">
        <v>191</v>
      </c>
      <c r="C51" s="15" t="s">
        <v>76</v>
      </c>
      <c r="D51" s="15" t="s">
        <v>173</v>
      </c>
      <c r="E51" s="18">
        <v>45671</v>
      </c>
      <c r="F51" s="15" t="s">
        <v>0</v>
      </c>
    </row>
    <row r="52" spans="1:6">
      <c r="A52" s="13">
        <v>50</v>
      </c>
      <c r="B52" s="15" t="s">
        <v>188</v>
      </c>
      <c r="C52" s="15" t="s">
        <v>76</v>
      </c>
      <c r="D52" s="15" t="s">
        <v>173</v>
      </c>
      <c r="E52" s="18">
        <v>45936</v>
      </c>
      <c r="F52" s="15" t="s">
        <v>3</v>
      </c>
    </row>
    <row r="53" spans="1:6">
      <c r="A53" s="13">
        <v>51</v>
      </c>
      <c r="B53" s="15" t="s">
        <v>172</v>
      </c>
      <c r="C53" s="15" t="s">
        <v>76</v>
      </c>
      <c r="D53" s="15" t="s">
        <v>173</v>
      </c>
      <c r="E53" s="18">
        <v>45857</v>
      </c>
      <c r="F53" s="15" t="s">
        <v>3</v>
      </c>
    </row>
    <row r="54" spans="1:6">
      <c r="A54" s="13">
        <v>52</v>
      </c>
      <c r="B54" s="15" t="s">
        <v>202</v>
      </c>
      <c r="C54" s="15" t="s">
        <v>76</v>
      </c>
      <c r="D54" s="15" t="s">
        <v>22</v>
      </c>
      <c r="E54" s="18">
        <v>45732</v>
      </c>
      <c r="F54" s="15" t="s">
        <v>0</v>
      </c>
    </row>
    <row r="55" spans="1:6">
      <c r="A55" s="13">
        <v>53</v>
      </c>
      <c r="B55" s="15" t="s">
        <v>182</v>
      </c>
      <c r="C55" s="15" t="s">
        <v>76</v>
      </c>
      <c r="D55" s="15" t="s">
        <v>22</v>
      </c>
      <c r="E55" s="18">
        <v>45750</v>
      </c>
      <c r="F55" s="15" t="s">
        <v>0</v>
      </c>
    </row>
    <row r="56" spans="1:6">
      <c r="A56" s="13">
        <v>54</v>
      </c>
      <c r="B56" s="15" t="s">
        <v>193</v>
      </c>
      <c r="C56" s="15" t="s">
        <v>76</v>
      </c>
      <c r="D56" s="15" t="s">
        <v>22</v>
      </c>
      <c r="E56" s="18">
        <v>45936</v>
      </c>
      <c r="F56" s="15" t="s">
        <v>3</v>
      </c>
    </row>
    <row r="57" spans="1:6">
      <c r="A57" s="13">
        <v>55</v>
      </c>
      <c r="B57" s="15" t="s">
        <v>136</v>
      </c>
      <c r="C57" s="15" t="s">
        <v>77</v>
      </c>
      <c r="D57" s="15" t="s">
        <v>137</v>
      </c>
      <c r="E57" s="18">
        <v>45936</v>
      </c>
      <c r="F57" s="15" t="s">
        <v>3</v>
      </c>
    </row>
    <row r="58" spans="1:6">
      <c r="A58" s="13">
        <v>56</v>
      </c>
      <c r="B58" s="15" t="s">
        <v>199</v>
      </c>
      <c r="C58" s="15" t="s">
        <v>77</v>
      </c>
      <c r="D58" s="15" t="s">
        <v>137</v>
      </c>
      <c r="E58" s="18">
        <v>45845</v>
      </c>
      <c r="F58" s="15" t="s">
        <v>0</v>
      </c>
    </row>
    <row r="59" spans="1:6">
      <c r="A59" s="13">
        <v>57</v>
      </c>
      <c r="B59" s="15" t="s">
        <v>198</v>
      </c>
      <c r="C59" s="15" t="s">
        <v>77</v>
      </c>
      <c r="D59" s="15" t="s">
        <v>137</v>
      </c>
      <c r="E59" s="18">
        <v>45936</v>
      </c>
      <c r="F59" s="15" t="s">
        <v>3</v>
      </c>
    </row>
    <row r="60" spans="1:6">
      <c r="A60" s="13">
        <v>58</v>
      </c>
      <c r="B60" s="15" t="s">
        <v>196</v>
      </c>
      <c r="C60" s="15" t="s">
        <v>77</v>
      </c>
      <c r="D60" s="15" t="s">
        <v>54</v>
      </c>
      <c r="E60" s="18">
        <v>45820</v>
      </c>
      <c r="F60" s="15" t="s">
        <v>0</v>
      </c>
    </row>
    <row r="61" spans="1:6">
      <c r="A61" s="13">
        <v>59</v>
      </c>
      <c r="B61" s="15" t="s">
        <v>153</v>
      </c>
      <c r="C61" s="15" t="s">
        <v>77</v>
      </c>
      <c r="D61" s="15" t="s">
        <v>154</v>
      </c>
      <c r="E61" s="18">
        <v>45921</v>
      </c>
      <c r="F61" s="15" t="s">
        <v>3</v>
      </c>
    </row>
    <row r="62" spans="1:6" ht="15">
      <c r="A62" s="13">
        <v>60</v>
      </c>
      <c r="B62" s="14" t="s">
        <v>126</v>
      </c>
      <c r="C62" s="14" t="s">
        <v>77</v>
      </c>
      <c r="D62" s="15" t="s">
        <v>127</v>
      </c>
      <c r="E62" s="18">
        <v>45833</v>
      </c>
      <c r="F62" s="15" t="s">
        <v>0</v>
      </c>
    </row>
    <row r="63" spans="1:6">
      <c r="A63" s="13">
        <v>61</v>
      </c>
      <c r="B63" s="15" t="s">
        <v>128</v>
      </c>
      <c r="C63" s="15" t="s">
        <v>77</v>
      </c>
      <c r="D63" s="15" t="s">
        <v>129</v>
      </c>
      <c r="E63" s="23">
        <v>45634</v>
      </c>
      <c r="F63" s="15" t="s">
        <v>0</v>
      </c>
    </row>
    <row r="64" spans="1:6">
      <c r="A64" s="13">
        <v>62</v>
      </c>
      <c r="B64" s="15" t="s">
        <v>197</v>
      </c>
      <c r="C64" s="15" t="s">
        <v>77</v>
      </c>
      <c r="D64" s="15" t="s">
        <v>129</v>
      </c>
      <c r="E64" s="18">
        <v>45936</v>
      </c>
      <c r="F64" s="15" t="s">
        <v>3</v>
      </c>
    </row>
    <row r="65" spans="1:6">
      <c r="A65" s="13">
        <v>63</v>
      </c>
      <c r="B65" s="15" t="s">
        <v>134</v>
      </c>
      <c r="C65" s="15" t="s">
        <v>77</v>
      </c>
      <c r="D65" s="15" t="s">
        <v>129</v>
      </c>
      <c r="E65" s="18">
        <v>45886</v>
      </c>
      <c r="F65" s="15" t="s">
        <v>0</v>
      </c>
    </row>
    <row r="66" spans="1:6">
      <c r="A66" s="13">
        <v>64</v>
      </c>
      <c r="B66" s="15" t="s">
        <v>167</v>
      </c>
      <c r="C66" s="15" t="s">
        <v>77</v>
      </c>
      <c r="D66" s="15" t="s">
        <v>129</v>
      </c>
      <c r="E66" s="18">
        <v>45936</v>
      </c>
      <c r="F66" s="15" t="s">
        <v>3</v>
      </c>
    </row>
    <row r="67" spans="1:6">
      <c r="A67" s="13">
        <v>65</v>
      </c>
      <c r="B67" s="15" t="s">
        <v>158</v>
      </c>
      <c r="C67" s="15" t="s">
        <v>77</v>
      </c>
      <c r="D67" s="15" t="s">
        <v>159</v>
      </c>
      <c r="E67" s="18">
        <v>45936</v>
      </c>
      <c r="F67" s="15" t="s">
        <v>3</v>
      </c>
    </row>
    <row r="68" spans="1:6">
      <c r="A68" s="13">
        <v>66</v>
      </c>
      <c r="B68" s="15" t="s">
        <v>187</v>
      </c>
      <c r="C68" s="15" t="s">
        <v>77</v>
      </c>
      <c r="D68" s="15" t="s">
        <v>159</v>
      </c>
      <c r="E68" s="18">
        <v>45936</v>
      </c>
      <c r="F68" s="15" t="s">
        <v>3</v>
      </c>
    </row>
    <row r="69" spans="1:6">
      <c r="A69" s="13">
        <v>67</v>
      </c>
      <c r="B69" s="15" t="s">
        <v>200</v>
      </c>
      <c r="C69" s="15" t="s">
        <v>77</v>
      </c>
      <c r="D69" s="15" t="s">
        <v>159</v>
      </c>
      <c r="E69" s="18">
        <v>45936</v>
      </c>
      <c r="F69" s="15" t="s">
        <v>3</v>
      </c>
    </row>
    <row r="70" spans="1:6">
      <c r="A70" s="13">
        <v>68</v>
      </c>
      <c r="B70" s="15" t="s">
        <v>185</v>
      </c>
      <c r="C70" s="15" t="s">
        <v>77</v>
      </c>
      <c r="D70" s="15" t="s">
        <v>144</v>
      </c>
      <c r="E70" s="18">
        <v>45936</v>
      </c>
      <c r="F70" s="15" t="s">
        <v>3</v>
      </c>
    </row>
    <row r="71" spans="1:6">
      <c r="A71" s="13">
        <v>69</v>
      </c>
      <c r="B71" s="15" t="s">
        <v>147</v>
      </c>
      <c r="C71" s="15" t="s">
        <v>77</v>
      </c>
      <c r="D71" s="15" t="s">
        <v>144</v>
      </c>
      <c r="E71" s="18">
        <v>45936</v>
      </c>
      <c r="F71" s="15" t="s">
        <v>3</v>
      </c>
    </row>
    <row r="72" spans="1:6">
      <c r="A72" s="13">
        <v>70</v>
      </c>
      <c r="B72" s="15" t="s">
        <v>143</v>
      </c>
      <c r="C72" s="15" t="s">
        <v>77</v>
      </c>
      <c r="D72" s="15" t="s">
        <v>144</v>
      </c>
      <c r="E72" s="18">
        <v>45857</v>
      </c>
      <c r="F72" s="15" t="s">
        <v>3</v>
      </c>
    </row>
    <row r="73" spans="1:6">
      <c r="B73" t="s">
        <v>124</v>
      </c>
      <c r="F73">
        <f>COUNTIF(F3:F72,"YES")</f>
        <v>41</v>
      </c>
    </row>
    <row r="74" spans="1:6">
      <c r="B74" t="s">
        <v>230</v>
      </c>
      <c r="F74" s="9">
        <f>F73/70</f>
        <v>0.58571428571428574</v>
      </c>
    </row>
  </sheetData>
  <sortState ref="A1:L72">
    <sortCondition ref="C1:C72"/>
    <sortCondition ref="D1:D72"/>
  </sortState>
  <mergeCells count="1">
    <mergeCell ref="E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selection activeCell="G18" sqref="G18"/>
    </sheetView>
  </sheetViews>
  <sheetFormatPr defaultRowHeight="14.5"/>
  <cols>
    <col min="2" max="2" width="12.58203125" bestFit="1" customWidth="1"/>
    <col min="3" max="3" width="9.1640625" bestFit="1" customWidth="1"/>
    <col min="4" max="4" width="10" bestFit="1" customWidth="1"/>
    <col min="5" max="5" width="11.08203125" bestFit="1" customWidth="1"/>
  </cols>
  <sheetData>
    <row r="1" spans="1:6" ht="15.5">
      <c r="A1" s="27" t="s">
        <v>238</v>
      </c>
      <c r="B1" s="11" t="s">
        <v>213</v>
      </c>
      <c r="C1" s="11" t="s">
        <v>212</v>
      </c>
      <c r="D1" s="12" t="s">
        <v>125</v>
      </c>
      <c r="E1" s="47" t="s">
        <v>214</v>
      </c>
      <c r="F1" s="48"/>
    </row>
    <row r="2" spans="1:6" ht="15.5">
      <c r="A2" s="27"/>
      <c r="B2" s="11"/>
      <c r="C2" s="11"/>
      <c r="D2" s="12"/>
      <c r="E2" s="12" t="s">
        <v>215</v>
      </c>
      <c r="F2" s="12" t="s">
        <v>276</v>
      </c>
    </row>
    <row r="3" spans="1:6">
      <c r="A3" s="27">
        <v>1</v>
      </c>
      <c r="B3" s="27" t="s">
        <v>262</v>
      </c>
      <c r="C3" t="s">
        <v>77</v>
      </c>
      <c r="D3" t="s">
        <v>159</v>
      </c>
      <c r="F3" t="s">
        <v>3</v>
      </c>
    </row>
    <row r="4" spans="1:6">
      <c r="A4" s="27">
        <v>2</v>
      </c>
      <c r="B4" s="27" t="s">
        <v>127</v>
      </c>
      <c r="C4" t="s">
        <v>77</v>
      </c>
      <c r="D4" t="s">
        <v>263</v>
      </c>
      <c r="F4" t="s">
        <v>3</v>
      </c>
    </row>
    <row r="5" spans="1:6">
      <c r="A5" s="27">
        <v>3</v>
      </c>
      <c r="B5" s="27" t="s">
        <v>264</v>
      </c>
      <c r="C5" t="s">
        <v>76</v>
      </c>
      <c r="D5" t="s">
        <v>164</v>
      </c>
      <c r="F5" t="s">
        <v>0</v>
      </c>
    </row>
  </sheetData>
  <mergeCells count="1">
    <mergeCell ref="E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TOTAL STATION</vt:lpstr>
      <vt:lpstr>WEBMONITOR_METEO</vt:lpstr>
      <vt:lpstr>AWS_LIGHTINING</vt:lpstr>
      <vt:lpstr>AWS_SOFF</vt:lpstr>
      <vt:lpstr>AWS_LSI_X&amp;EVOL_METEO</vt:lpstr>
      <vt:lpstr>ARG</vt:lpstr>
      <vt:lpstr>AWS_LSA_ElOG_METEO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2020-01-28T08:21:00Z</dcterms:created>
  <dcterms:modified xsi:type="dcterms:W3CDTF">2025-10-06T14:26:56Z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1033-12.2.0.20326</vt:lpwstr>
  </property>
  <property fmtid="{D5CDD505-2E9C-101B-9397-08002B2CF9AE}" pid="3" name="ICV">
    <vt:lpwstr>1142D7375C2F4BC6B0BA43EB40BED5A4</vt:lpwstr>
  </property>
</Properties>
</file>